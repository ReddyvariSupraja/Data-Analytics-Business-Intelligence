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DI\OneDrive\Documents\Task-2Dataset\"/>
    </mc:Choice>
  </mc:AlternateContent>
  <xr:revisionPtr revIDLastSave="0" documentId="13_ncr:1_{07540847-789A-4D5D-8A75-84C48F939BFE}" xr6:coauthVersionLast="47" xr6:coauthVersionMax="47" xr10:uidLastSave="{00000000-0000-0000-0000-000000000000}"/>
  <bookViews>
    <workbookView xWindow="-108" yWindow="-108" windowWidth="23256" windowHeight="12456" xr2:uid="{41967F68-3BEE-468B-B917-7A270FB97196}"/>
  </bookViews>
  <sheets>
    <sheet name="Orders" sheetId="1" r:id="rId1"/>
    <sheet name="Customers" sheetId="2" r:id="rId2"/>
  </sheets>
  <calcPr calcId="191029"/>
  <pivotCaches>
    <pivotCache cacheId="0" r:id="rId3"/>
    <pivotCache cacheId="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19" i="1" l="1"/>
  <c r="Z20" i="1"/>
  <c r="Z18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2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N6" i="1"/>
  <c r="O6" i="1" s="1"/>
  <c r="N7" i="1"/>
  <c r="O7" i="1" s="1"/>
  <c r="N8" i="1"/>
  <c r="O8" i="1" s="1"/>
  <c r="N9" i="1"/>
  <c r="O9" i="1" s="1"/>
  <c r="M6" i="1"/>
  <c r="M7" i="1"/>
  <c r="M8" i="1"/>
  <c r="M9" i="1"/>
  <c r="M10" i="1"/>
  <c r="N10" i="1" s="1"/>
  <c r="O10" i="1" s="1"/>
  <c r="M11" i="1"/>
  <c r="N11" i="1" s="1"/>
  <c r="O11" i="1" s="1"/>
  <c r="M12" i="1"/>
  <c r="N12" i="1" s="1"/>
  <c r="O12" i="1" s="1"/>
  <c r="M13" i="1"/>
  <c r="N13" i="1" s="1"/>
  <c r="O13" i="1" s="1"/>
  <c r="M14" i="1"/>
  <c r="N14" i="1" s="1"/>
  <c r="O14" i="1" s="1"/>
  <c r="M15" i="1"/>
  <c r="N15" i="1" s="1"/>
  <c r="O15" i="1" s="1"/>
  <c r="M16" i="1"/>
  <c r="N16" i="1" s="1"/>
  <c r="O16" i="1" s="1"/>
  <c r="M17" i="1"/>
  <c r="N17" i="1" s="1"/>
  <c r="O17" i="1" s="1"/>
  <c r="M18" i="1"/>
  <c r="N18" i="1" s="1"/>
  <c r="O18" i="1" s="1"/>
  <c r="M19" i="1"/>
  <c r="N19" i="1" s="1"/>
  <c r="O19" i="1" s="1"/>
  <c r="M20" i="1"/>
  <c r="N20" i="1" s="1"/>
  <c r="O20" i="1" s="1"/>
  <c r="M21" i="1"/>
  <c r="N21" i="1" s="1"/>
  <c r="O21" i="1" s="1"/>
  <c r="M22" i="1"/>
  <c r="N22" i="1" s="1"/>
  <c r="O22" i="1" s="1"/>
  <c r="M23" i="1"/>
  <c r="N23" i="1" s="1"/>
  <c r="O23" i="1" s="1"/>
  <c r="M5" i="1"/>
  <c r="N5" i="1" s="1"/>
  <c r="O5" i="1" s="1"/>
  <c r="R3" i="1" l="1"/>
  <c r="S3" i="1"/>
  <c r="S6" i="1"/>
  <c r="R6" i="1"/>
  <c r="T6" i="1" s="1"/>
  <c r="R5" i="1"/>
  <c r="R4" i="1"/>
  <c r="S4" i="1"/>
  <c r="T4" i="1" s="1"/>
  <c r="S5" i="1"/>
  <c r="T5" i="1" s="1"/>
  <c r="R11" i="1"/>
  <c r="R10" i="1"/>
  <c r="R12" i="1"/>
  <c r="T3" i="1" l="1"/>
  <c r="S12" i="1"/>
  <c r="S10" i="1"/>
  <c r="S11" i="1"/>
</calcChain>
</file>

<file path=xl/sharedStrings.xml><?xml version="1.0" encoding="utf-8"?>
<sst xmlns="http://schemas.openxmlformats.org/spreadsheetml/2006/main" count="453" uniqueCount="191">
  <si>
    <t>Order_ID</t>
  </si>
  <si>
    <t>Order_Date</t>
  </si>
  <si>
    <t>Customer_ID</t>
  </si>
  <si>
    <t>Category</t>
  </si>
  <si>
    <t>Sales</t>
  </si>
  <si>
    <t>Profit</t>
  </si>
  <si>
    <t>Discount</t>
  </si>
  <si>
    <t>ORD-1001</t>
  </si>
  <si>
    <t>C001</t>
  </si>
  <si>
    <t>Technology</t>
  </si>
  <si>
    <t>ORD-1002</t>
  </si>
  <si>
    <t>C006</t>
  </si>
  <si>
    <t>Office Supplies</t>
  </si>
  <si>
    <t>ORD-1003</t>
  </si>
  <si>
    <t>C011</t>
  </si>
  <si>
    <t>Furniture</t>
  </si>
  <si>
    <t>ORD-1004</t>
  </si>
  <si>
    <t>C016</t>
  </si>
  <si>
    <t>ORD-1005</t>
  </si>
  <si>
    <t>C002</t>
  </si>
  <si>
    <t>ORD-1006</t>
  </si>
  <si>
    <t>C007</t>
  </si>
  <si>
    <t>ORD-1007</t>
  </si>
  <si>
    <t>C012</t>
  </si>
  <si>
    <t>ORD-1008</t>
  </si>
  <si>
    <t>C017</t>
  </si>
  <si>
    <t>ORD-1009</t>
  </si>
  <si>
    <t>C003</t>
  </si>
  <si>
    <t>ORD-1010</t>
  </si>
  <si>
    <t>C008</t>
  </si>
  <si>
    <t>ORD-1011</t>
  </si>
  <si>
    <t>C013</t>
  </si>
  <si>
    <t>ORD-1012</t>
  </si>
  <si>
    <t>C018</t>
  </si>
  <si>
    <t>ORD-1013</t>
  </si>
  <si>
    <t>C004</t>
  </si>
  <si>
    <t>ORD-1014</t>
  </si>
  <si>
    <t>C009</t>
  </si>
  <si>
    <t>ORD-1015</t>
  </si>
  <si>
    <t>C014</t>
  </si>
  <si>
    <t>ORD-1016</t>
  </si>
  <si>
    <t>C019</t>
  </si>
  <si>
    <t>ORD-1017</t>
  </si>
  <si>
    <t>C005</t>
  </si>
  <si>
    <t>ORD-1018</t>
  </si>
  <si>
    <t>C010</t>
  </si>
  <si>
    <t>ORD-1019</t>
  </si>
  <si>
    <t>C015</t>
  </si>
  <si>
    <t>ORD-1020</t>
  </si>
  <si>
    <t>C020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</si>
  <si>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</si>
  <si>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</si>
  <si>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</si>
  <si>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</si>
  <si>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</si>
  <si>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</si>
  <si>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</si>
  <si>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</si>
  <si>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</si>
  <si>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</si>
  <si>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</si>
  <si>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</si>
  <si>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</si>
  <si>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</si>
  <si>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</si>
  <si>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</si>
  <si>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</si>
  <si>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</si>
  <si>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</si>
  <si>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</si>
  <si>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</si>
  <si>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</si>
  <si>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</si>
  <si>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</si>
  <si>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</si>
  <si>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</si>
  <si>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</si>
  <si>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</si>
  <si>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</si>
  <si>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</si>
  <si>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</si>
  <si>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</si>
  <si>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</si>
  <si>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</si>
  <si>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</si>
  <si>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</si>
  <si>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</si>
  <si>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</si>
  <si>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</si>
  <si>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</si>
  <si>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</si>
  <si>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</si>
  <si>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</si>
  <si>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</si>
  <si>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</si>
  <si>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</si>
  <si>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</si>
  <si>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</si>
  <si>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</si>
  <si>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</si>
  <si>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</si>
  <si>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</si>
  <si>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</si>
  <si>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</si>
  <si>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</si>
  <si>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</si>
  <si>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</si>
  <si>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</si>
  <si>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</si>
  <si>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</si>
  <si>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</si>
  <si>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</si>
  <si>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</si>
  <si>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</si>
  <si>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</si>
  <si>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</si>
  <si>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</si>
  <si>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</si>
  <si>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</si>
  <si>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</si>
  <si>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</si>
  <si>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</si>
  <si>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</si>
  <si>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</si>
  <si>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</si>
  <si>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</si>
  <si>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</si>
  <si>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</si>
  <si>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</si>
  <si>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</si>
  <si>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>Customer_Name</t>
  </si>
  <si>
    <t>Region</t>
  </si>
  <si>
    <t>Segment</t>
  </si>
  <si>
    <t>Aarav Sharma</t>
  </si>
  <si>
    <t>West</t>
  </si>
  <si>
    <t>Consumer</t>
  </si>
  <si>
    <t>Diya Patel</t>
  </si>
  <si>
    <t>Corporate</t>
  </si>
  <si>
    <t>John Gupta</t>
  </si>
  <si>
    <t>Home Office</t>
  </si>
  <si>
    <t>Priya Nair</t>
  </si>
  <si>
    <t>Rohan Mehta</t>
  </si>
  <si>
    <t>Ananya Rao</t>
  </si>
  <si>
    <t>East</t>
  </si>
  <si>
    <t>Vikram Singh</t>
  </si>
  <si>
    <t>Sanya Verma</t>
  </si>
  <si>
    <t>Kabir Das</t>
  </si>
  <si>
    <t>Meera Joshi</t>
  </si>
  <si>
    <t>Arjun Kumar</t>
  </si>
  <si>
    <t>North</t>
  </si>
  <si>
    <t>Zoya Khan</t>
  </si>
  <si>
    <t>Aditya Mishra</t>
  </si>
  <si>
    <t>Neha Reddy</t>
  </si>
  <si>
    <t>Rahul Dev</t>
  </si>
  <si>
    <t>Sneha Pillai</t>
  </si>
  <si>
    <t>South</t>
  </si>
  <si>
    <t>Karthik Raj</t>
  </si>
  <si>
    <t>Pooja Iyer</t>
  </si>
  <si>
    <t>Manish Tiwari</t>
  </si>
  <si>
    <t>Simran Kaur</t>
  </si>
  <si>
    <t>Row Labels</t>
  </si>
  <si>
    <t>Grand Total</t>
  </si>
  <si>
    <t>2025</t>
  </si>
  <si>
    <t>2026</t>
  </si>
  <si>
    <t>Sum of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</si>
  <si>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</si>
  <si>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</si>
  <si>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</si>
  <si>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</si>
  <si>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</si>
  <si>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</si>
  <si>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</si>
  <si>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</si>
  <si>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</si>
  <si>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</si>
  <si>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</si>
  <si>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</si>
  <si>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Months (Order_Date)</t>
  </si>
  <si>
    <t>Years (Order_Date)</t>
  </si>
  <si>
    <t>Previous Month Sales</t>
  </si>
  <si>
    <t>Variance</t>
  </si>
  <si>
    <t>Growth%</t>
  </si>
  <si>
    <t>Total Sales</t>
  </si>
  <si>
    <t>Total Profit</t>
  </si>
  <si>
    <t>Progit Margin</t>
  </si>
  <si>
    <t xml:space="preserve">Segment </t>
  </si>
  <si>
    <t>Revenue</t>
  </si>
  <si>
    <t>Contribution%</t>
  </si>
  <si>
    <t>Column Labels</t>
  </si>
  <si>
    <t>2025 Sales</t>
  </si>
  <si>
    <t>2026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</si>
</sst>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 vertical="center" indent="1"/>
    </xf>
    <xf numFmtId="9" fontId="3" fillId="0" borderId="0" xfId="1" applyFont="1"/>
    <xf numFmtId="0" fontId="0" fillId="0" borderId="1" xfId="0" applyBorder="1"/>
    <xf numFmtId="0" fontId="3" fillId="0" borderId="1" xfId="0" applyFont="1" applyBorder="1"/>
    <xf numFmtId="9" fontId="0" fillId="0" borderId="1" xfId="1" applyFont="1" applyBorder="1"/>
    <xf numFmtId="0" fontId="2" fillId="0" borderId="1" xfId="0" applyFont="1" applyBorder="1"/>
  </cellXfs>
  <cellStyles count="2">
    <cellStyle name="Normal" xfId="0" builtinId="0"/>
    <cellStyle name="Percent" xfId="1" builtinId="5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I CHANDANA REDDIVARI" refreshedDate="46226.623079398145" createdVersion="8" refreshedVersion="8" minRefreshableVersion="3" recordCount="100" xr:uid="{781E1797-6234-46D6-9056-8190C2A806F1}">
  <cacheSource type="worksheet">
    <worksheetSource ref="H1:I101" sheet="Orders"/>
  </cacheSource>
  <cacheFields count="5">
    <cacheField name="Sales" numFmtId="0">
      <sharedItems containsSemiMixedTypes="0" containsString="0" containsNumber="1" minValue="65" maxValue="2100"/>
    </cacheField>
    <cacheField name="Order_Date" numFmtId="14">
      <sharedItems containsSemiMixedTypes="0" containsNonDate="0" containsDate="1" containsString="0" minDate="2025-01-05T00:00:00" maxDate="2026-08-26T00:00:00" count="100">
        <d v="2025-01-05T00:00:00"/>
        <d v="2025-01-12T00:00:00"/>
        <d v="2025-01-18T00:00:00"/>
        <d v="2025-01-22T00:00:00"/>
        <d v="2025-01-28T00:00:00"/>
        <d v="2025-02-03T00:00:00"/>
        <d v="2025-02-09T00:00:00"/>
        <d v="2025-02-14T00:00:00"/>
        <d v="2025-02-19T00:00:00"/>
        <d v="2025-02-25T00:00:00"/>
        <d v="2025-03-02T00:00:00"/>
        <d v="2025-03-08T00:00:00"/>
        <d v="2025-03-15T00:00:00"/>
        <d v="2025-03-21T00:00:00"/>
        <d v="2025-03-27T00:00:00"/>
        <d v="2025-04-04T00:00:00"/>
        <d v="2025-04-10T00:00:00"/>
        <d v="2025-04-16T00:00:00"/>
        <d v="2025-04-22T00:00:00"/>
        <d v="2025-04-28T00:00:00"/>
        <d v="2025-05-03T00:00:00"/>
        <d v="2025-05-09T00:00:00"/>
        <d v="2025-05-15T00:00:00"/>
        <d v="2025-05-20T00:00:00"/>
        <d v="2025-05-26T00:00:00"/>
        <d v="2025-06-01T00:00:00"/>
        <d v="2025-06-07T00:00:00"/>
        <d v="2025-06-12T00:00:00"/>
        <d v="2025-06-18T00:00:00"/>
        <d v="2025-06-24T00:00:00"/>
        <d v="2025-07-02T00:00:00"/>
        <d v="2025-07-08T00:00:00"/>
        <d v="2025-07-14T00:00:00"/>
        <d v="2025-07-20T00:00:00"/>
        <d v="2025-07-26T00:00:00"/>
        <d v="2025-08-01T00:00:00"/>
        <d v="2025-08-07T00:00:00"/>
        <d v="2025-08-13T00:00:00"/>
        <d v="2025-08-19T00:00:00"/>
        <d v="2025-08-25T00:00:00"/>
        <d v="2025-09-03T00:00:00"/>
        <d v="2025-09-09T00:00:00"/>
        <d v="2025-09-15T00:00:00"/>
        <d v="2025-09-21T00:00:00"/>
        <d v="2025-09-27T00:00:00"/>
        <d v="2025-10-04T00:00:00"/>
        <d v="2025-10-10T00:00:00"/>
        <d v="2025-10-16T00:00:00"/>
        <d v="2025-10-22T00:00:00"/>
        <d v="2025-10-28T00:00:00"/>
        <d v="2025-11-02T00:00:00"/>
        <d v="2025-11-08T00:00:00"/>
        <d v="2025-11-14T00:00:00"/>
        <d v="2025-11-20T00:00:00"/>
        <d v="2025-11-26T00:00:00"/>
        <d v="2025-12-02T00:00:00"/>
        <d v="2025-12-08T00:00:00"/>
        <d v="2025-12-14T00:00:00"/>
        <d v="2025-12-20T00:00:00"/>
        <d v="2025-12-26T00:00:00"/>
        <d v="2026-01-04T00:00:00"/>
        <d v="2026-01-10T00:00:00"/>
        <d v="2026-01-16T00:00:00"/>
        <d v="2026-01-22T00:00:00"/>
        <d v="2026-01-28T00:00:00"/>
        <d v="2026-02-03T00:00:00"/>
        <d v="2026-02-09T00:00:00"/>
        <d v="2026-02-15T00:00:00"/>
        <d v="2026-02-21T00:00:00"/>
        <d v="2026-02-27T00:00:00"/>
        <d v="2026-03-05T00:00:00"/>
        <d v="2026-03-11T00:00:00"/>
        <d v="2026-03-17T00:00:00"/>
        <d v="2026-03-23T00:00:00"/>
        <d v="2026-03-29T00:00:00"/>
        <d v="2026-04-04T00:00:00"/>
        <d v="2026-04-10T00:00:00"/>
        <d v="2026-04-16T00:00:00"/>
        <d v="2026-04-22T00:00:00"/>
        <d v="2026-04-28T00:00:00"/>
        <d v="2026-05-04T00:00:00"/>
        <d v="2026-05-10T00:00:00"/>
        <d v="2026-05-16T00:00:00"/>
        <d v="2026-05-22T00:00:00"/>
        <d v="2026-05-28T00:00:00"/>
        <d v="2026-06-03T00:00:00"/>
        <d v="2026-06-09T00:00:00"/>
        <d v="2026-06-15T00:00:00"/>
        <d v="2026-06-21T00:00:00"/>
        <d v="2026-06-27T00:00:00"/>
        <d v="2026-07-02T00:00:00"/>
        <d v="2026-07-08T00:00:00"/>
        <d v="2026-07-14T00:00:00"/>
        <d v="2026-07-20T00:00:00"/>
        <d v="2026-07-26T00:00:00"/>
        <d v="2026-08-01T00:00:00"/>
        <d v="2026-08-07T00:00:00"/>
        <d v="2026-08-13T00:00:00"/>
        <d v="2026-08-19T00:00:00"/>
        <d v="2026-08-25T00:00:00"/>
      </sharedItems>
      <fieldGroup par="4"/>
    </cacheField>
    <cacheField name="Months (Order_Date)" numFmtId="0" databaseField="0">
      <fieldGroup base="1">
        <rangePr groupBy="months" startDate="2025-01-05T00:00:00" endDate="2026-08-26T00:00:00"/>
        <groupItems count="14">
          <s v="&lt;05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6-08-2026"/>
        </groupItems>
      </fieldGroup>
    </cacheField>
    <cacheField name="Quarters (Order_Date)" numFmtId="0" databaseField="0">
      <fieldGroup base="1">
        <rangePr groupBy="quarters" startDate="2025-01-05T00:00:00" endDate="2026-08-26T00:00:00"/>
        <groupItems count="6">
          <s v="&lt;05-01-2025"/>
          <s v="Qtr1"/>
          <s v="Qtr2"/>
          <s v="Qtr3"/>
          <s v="Qtr4"/>
          <s v="&gt;26-08-2026"/>
        </groupItems>
      </fieldGroup>
    </cacheField>
    <cacheField name="Years (Order_Date)" numFmtId="0" databaseField="0">
      <fieldGroup base="1">
        <rangePr groupBy="years" startDate="2025-01-05T00:00:00" endDate="2026-08-26T00:00:00"/>
        <groupItems count="4">
          <s v="&lt;05-01-2025"/>
          <s v="2025"/>
          <s v="2026"/>
          <s v="&gt;26-08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I CHANDANA REDDIVARI" refreshedDate="46226.662331597225" createdVersion="8" refreshedVersion="8" minRefreshableVersion="3" recordCount="100" xr:uid="{EC5BC70C-3111-4119-9BFD-6A7627C5515D}">
  <cacheSource type="worksheet">
    <worksheetSource ref="D1:E101" sheet="Orders"/>
  </cacheSource>
  <cacheFields count="6">
    <cacheField name="Order_Date" numFmtId="14">
      <sharedItems containsSemiMixedTypes="0" containsNonDate="0" containsDate="1" containsString="0" minDate="2025-01-05T00:00:00" maxDate="2026-08-26T00:00:00" count="100">
        <d v="2025-01-05T00:00:00"/>
        <d v="2025-01-12T00:00:00"/>
        <d v="2025-01-18T00:00:00"/>
        <d v="2025-01-22T00:00:00"/>
        <d v="2025-01-28T00:00:00"/>
        <d v="2025-02-03T00:00:00"/>
        <d v="2025-02-09T00:00:00"/>
        <d v="2025-02-14T00:00:00"/>
        <d v="2025-02-19T00:00:00"/>
        <d v="2025-02-25T00:00:00"/>
        <d v="2025-03-02T00:00:00"/>
        <d v="2025-03-08T00:00:00"/>
        <d v="2025-03-15T00:00:00"/>
        <d v="2025-03-21T00:00:00"/>
        <d v="2025-03-27T00:00:00"/>
        <d v="2025-04-04T00:00:00"/>
        <d v="2025-04-10T00:00:00"/>
        <d v="2025-04-16T00:00:00"/>
        <d v="2025-04-22T00:00:00"/>
        <d v="2025-04-28T00:00:00"/>
        <d v="2025-05-03T00:00:00"/>
        <d v="2025-05-09T00:00:00"/>
        <d v="2025-05-15T00:00:00"/>
        <d v="2025-05-20T00:00:00"/>
        <d v="2025-05-26T00:00:00"/>
        <d v="2025-06-01T00:00:00"/>
        <d v="2025-06-07T00:00:00"/>
        <d v="2025-06-12T00:00:00"/>
        <d v="2025-06-18T00:00:00"/>
        <d v="2025-06-24T00:00:00"/>
        <d v="2025-07-02T00:00:00"/>
        <d v="2025-07-08T00:00:00"/>
        <d v="2025-07-14T00:00:00"/>
        <d v="2025-07-20T00:00:00"/>
        <d v="2025-07-26T00:00:00"/>
        <d v="2025-08-01T00:00:00"/>
        <d v="2025-08-07T00:00:00"/>
        <d v="2025-08-13T00:00:00"/>
        <d v="2025-08-19T00:00:00"/>
        <d v="2025-08-25T00:00:00"/>
        <d v="2025-09-03T00:00:00"/>
        <d v="2025-09-09T00:00:00"/>
        <d v="2025-09-15T00:00:00"/>
        <d v="2025-09-21T00:00:00"/>
        <d v="2025-09-27T00:00:00"/>
        <d v="2025-10-04T00:00:00"/>
        <d v="2025-10-10T00:00:00"/>
        <d v="2025-10-16T00:00:00"/>
        <d v="2025-10-22T00:00:00"/>
        <d v="2025-10-28T00:00:00"/>
        <d v="2025-11-02T00:00:00"/>
        <d v="2025-11-08T00:00:00"/>
        <d v="2025-11-14T00:00:00"/>
        <d v="2025-11-20T00:00:00"/>
        <d v="2025-11-26T00:00:00"/>
        <d v="2025-12-02T00:00:00"/>
        <d v="2025-12-08T00:00:00"/>
        <d v="2025-12-14T00:00:00"/>
        <d v="2025-12-20T00:00:00"/>
        <d v="2025-12-26T00:00:00"/>
        <d v="2026-01-04T00:00:00"/>
        <d v="2026-01-10T00:00:00"/>
        <d v="2026-01-16T00:00:00"/>
        <d v="2026-01-22T00:00:00"/>
        <d v="2026-01-28T00:00:00"/>
        <d v="2026-02-03T00:00:00"/>
        <d v="2026-02-09T00:00:00"/>
        <d v="2026-02-15T00:00:00"/>
        <d v="2026-02-21T00:00:00"/>
        <d v="2026-02-27T00:00:00"/>
        <d v="2026-03-05T00:00:00"/>
        <d v="2026-03-11T00:00:00"/>
        <d v="2026-03-17T00:00:00"/>
        <d v="2026-03-23T00:00:00"/>
        <d v="2026-03-29T00:00:00"/>
        <d v="2026-04-04T00:00:00"/>
        <d v="2026-04-10T00:00:00"/>
        <d v="2026-04-16T00:00:00"/>
        <d v="2026-04-22T00:00:00"/>
        <d v="2026-04-28T00:00:00"/>
        <d v="2026-05-04T00:00:00"/>
        <d v="2026-05-10T00:00:00"/>
        <d v="2026-05-16T00:00:00"/>
        <d v="2026-05-22T00:00:00"/>
        <d v="2026-05-28T00:00:00"/>
        <d v="2026-06-03T00:00:00"/>
        <d v="2026-06-09T00:00:00"/>
        <d v="2026-06-15T00:00:00"/>
        <d v="2026-06-21T00:00:00"/>
        <d v="2026-06-27T00:00:00"/>
        <d v="2026-07-02T00:00:00"/>
        <d v="2026-07-08T00:00:00"/>
        <d v="2026-07-14T00:00:00"/>
        <d v="2026-07-20T00:00:00"/>
        <d v="2026-07-26T00:00:00"/>
        <d v="2026-08-01T00:00:00"/>
        <d v="2026-08-07T00:00:00"/>
        <d v="2026-08-13T00:00:00"/>
        <d v="2026-08-19T00:00:00"/>
        <d v="2026-08-25T00:00:00"/>
      </sharedItems>
      <fieldGroup par="5"/>
    </cacheField>
    <cacheField name="Category" numFmtId="0">
      <sharedItems count="3">
        <s v="Technology"/>
        <s v="Office Supplies"/>
        <s v="Furniture"/>
      </sharedItems>
    </cacheField>
    <cacheField name="Sales" numFmtId="0">
      <sharedItems containsSemiMixedTypes="0" containsString="0" containsNumber="1" minValue="65" maxValue="2100"/>
    </cacheField>
    <cacheField name="Months (Order_Date)" numFmtId="0" databaseField="0">
      <fieldGroup base="0">
        <rangePr groupBy="months" startDate="2025-01-05T00:00:00" endDate="2026-08-26T00:00:00"/>
        <groupItems count="14">
          <s v="&lt;05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6-08-2026"/>
        </groupItems>
      </fieldGroup>
    </cacheField>
    <cacheField name="Quarters (Order_Date)" numFmtId="0" databaseField="0">
      <fieldGroup base="0">
        <rangePr groupBy="quarters" startDate="2025-01-05T00:00:00" endDate="2026-08-26T00:00:00"/>
        <groupItems count="6">
          <s v="&lt;05-01-2025"/>
          <s v="Qtr1"/>
          <s v="Qtr2"/>
          <s v="Qtr3"/>
          <s v="Qtr4"/>
          <s v="&gt;26-08-2026"/>
        </groupItems>
      </fieldGroup>
    </cacheField>
    <cacheField name="Years (Order_Date)" numFmtId="0" databaseField="0">
      <fieldGroup base="0">
        <rangePr groupBy="years" startDate="2025-01-05T00:00:00" endDate="2026-08-26T00:00:00"/>
        <groupItems count="4">
          <s v="&lt;05-01-2025"/>
          <s v="2025"/>
          <s v="2026"/>
          <s v="&gt;26-08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250"/>
    <x v="0"/>
  </r>
  <r>
    <n v="120.5"/>
    <x v="1"/>
  </r>
  <r>
    <n v="850"/>
    <x v="2"/>
  </r>
  <r>
    <n v="450"/>
    <x v="3"/>
  </r>
  <r>
    <n v="65"/>
    <x v="4"/>
  </r>
  <r>
    <n v="1500"/>
    <x v="5"/>
  </r>
  <r>
    <n v="920"/>
    <x v="6"/>
  </r>
  <r>
    <n v="310"/>
    <x v="7"/>
  </r>
  <r>
    <n v="620"/>
    <x v="8"/>
  </r>
  <r>
    <n v="85"/>
    <x v="9"/>
  </r>
  <r>
    <n v="1100"/>
    <x v="10"/>
  </r>
  <r>
    <n v="540"/>
    <x v="11"/>
  </r>
  <r>
    <n v="430"/>
    <x v="12"/>
  </r>
  <r>
    <n v="2100"/>
    <x v="13"/>
  </r>
  <r>
    <n v="760"/>
    <x v="14"/>
  </r>
  <r>
    <n v="190"/>
    <x v="15"/>
  </r>
  <r>
    <n v="890"/>
    <x v="16"/>
  </r>
  <r>
    <n v="1350"/>
    <x v="17"/>
  </r>
  <r>
    <n v="250"/>
    <x v="18"/>
  </r>
  <r>
    <n v="670"/>
    <x v="19"/>
  </r>
  <r>
    <n v="510"/>
    <x v="20"/>
  </r>
  <r>
    <n v="1420"/>
    <x v="21"/>
  </r>
  <r>
    <n v="115"/>
    <x v="22"/>
  </r>
  <r>
    <n v="480"/>
    <x v="23"/>
  </r>
  <r>
    <n v="950"/>
    <x v="24"/>
  </r>
  <r>
    <n v="340"/>
    <x v="25"/>
  </r>
  <r>
    <n v="1800"/>
    <x v="26"/>
  </r>
  <r>
    <n v="610"/>
    <x v="27"/>
  </r>
  <r>
    <n v="145"/>
    <x v="28"/>
  </r>
  <r>
    <n v="1150"/>
    <x v="29"/>
  </r>
  <r>
    <n v="890"/>
    <x v="30"/>
  </r>
  <r>
    <n v="210"/>
    <x v="31"/>
  </r>
  <r>
    <n v="730"/>
    <x v="32"/>
  </r>
  <r>
    <n v="1600"/>
    <x v="33"/>
  </r>
  <r>
    <n v="390"/>
    <x v="34"/>
  </r>
  <r>
    <n v="520"/>
    <x v="35"/>
  </r>
  <r>
    <n v="980"/>
    <x v="36"/>
  </r>
  <r>
    <n v="175"/>
    <x v="37"/>
  </r>
  <r>
    <n v="1300"/>
    <x v="38"/>
  </r>
  <r>
    <n v="450"/>
    <x v="39"/>
  </r>
  <r>
    <n v="1650"/>
    <x v="40"/>
  </r>
  <r>
    <n v="280"/>
    <x v="41"/>
  </r>
  <r>
    <n v="720"/>
    <x v="42"/>
  </r>
  <r>
    <n v="390"/>
    <x v="43"/>
  </r>
  <r>
    <n v="155"/>
    <x v="44"/>
  </r>
  <r>
    <n v="1150"/>
    <x v="45"/>
  </r>
  <r>
    <n v="880"/>
    <x v="46"/>
  </r>
  <r>
    <n v="410"/>
    <x v="47"/>
  </r>
  <r>
    <n v="630"/>
    <x v="48"/>
  </r>
  <r>
    <n v="1450"/>
    <x v="49"/>
  </r>
  <r>
    <n v="230"/>
    <x v="50"/>
  </r>
  <r>
    <n v="550"/>
    <x v="51"/>
  </r>
  <r>
    <n v="1900"/>
    <x v="52"/>
  </r>
  <r>
    <n v="310"/>
    <x v="53"/>
  </r>
  <r>
    <n v="840"/>
    <x v="54"/>
  </r>
  <r>
    <n v="610"/>
    <x v="55"/>
  </r>
  <r>
    <n v="125"/>
    <x v="56"/>
  </r>
  <r>
    <n v="1750"/>
    <x v="57"/>
  </r>
  <r>
    <n v="910"/>
    <x v="58"/>
  </r>
  <r>
    <n v="340"/>
    <x v="59"/>
  </r>
  <r>
    <n v="1350"/>
    <x v="60"/>
  </r>
  <r>
    <n v="820"/>
    <x v="61"/>
  </r>
  <r>
    <n v="190"/>
    <x v="62"/>
  </r>
  <r>
    <n v="480"/>
    <x v="63"/>
  </r>
  <r>
    <n v="1050"/>
    <x v="64"/>
  </r>
  <r>
    <n v="1550"/>
    <x v="65"/>
  </r>
  <r>
    <n v="270"/>
    <x v="66"/>
  </r>
  <r>
    <n v="590"/>
    <x v="67"/>
  </r>
  <r>
    <n v="920"/>
    <x v="68"/>
  </r>
  <r>
    <n v="160"/>
    <x v="69"/>
  </r>
  <r>
    <n v="1850"/>
    <x v="70"/>
  </r>
  <r>
    <n v="470"/>
    <x v="71"/>
  </r>
  <r>
    <n v="330"/>
    <x v="72"/>
  </r>
  <r>
    <n v="1100"/>
    <x v="73"/>
  </r>
  <r>
    <n v="780"/>
    <x v="74"/>
  </r>
  <r>
    <n v="220"/>
    <x v="75"/>
  </r>
  <r>
    <n v="1400"/>
    <x v="76"/>
  </r>
  <r>
    <n v="960"/>
    <x v="77"/>
  </r>
  <r>
    <n v="180"/>
    <x v="78"/>
  </r>
  <r>
    <n v="650"/>
    <x v="79"/>
  </r>
  <r>
    <n v="410"/>
    <x v="80"/>
  </r>
  <r>
    <n v="1700"/>
    <x v="81"/>
  </r>
  <r>
    <n v="860"/>
    <x v="82"/>
  </r>
  <r>
    <n v="150"/>
    <x v="83"/>
  </r>
  <r>
    <n v="1250"/>
    <x v="84"/>
  </r>
  <r>
    <n v="1120"/>
    <x v="85"/>
  </r>
  <r>
    <n v="290"/>
    <x v="86"/>
  </r>
  <r>
    <n v="580"/>
    <x v="87"/>
  </r>
  <r>
    <n v="740"/>
    <x v="88"/>
  </r>
  <r>
    <n v="210"/>
    <x v="89"/>
  </r>
  <r>
    <n v="1950"/>
    <x v="90"/>
  </r>
  <r>
    <n v="510"/>
    <x v="91"/>
  </r>
  <r>
    <n v="360"/>
    <x v="92"/>
  </r>
  <r>
    <n v="1320"/>
    <x v="93"/>
  </r>
  <r>
    <n v="890"/>
    <x v="94"/>
  </r>
  <r>
    <n v="170"/>
    <x v="95"/>
  </r>
  <r>
    <n v="1480"/>
    <x v="96"/>
  </r>
  <r>
    <n v="1020"/>
    <x v="97"/>
  </r>
  <r>
    <n v="260"/>
    <x v="98"/>
  </r>
  <r>
    <n v="600"/>
    <x v="9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x v="0"/>
    <n v="1250"/>
  </r>
  <r>
    <x v="1"/>
    <x v="1"/>
    <n v="120.5"/>
  </r>
  <r>
    <x v="2"/>
    <x v="2"/>
    <n v="850"/>
  </r>
  <r>
    <x v="3"/>
    <x v="0"/>
    <n v="450"/>
  </r>
  <r>
    <x v="4"/>
    <x v="1"/>
    <n v="65"/>
  </r>
  <r>
    <x v="5"/>
    <x v="0"/>
    <n v="1500"/>
  </r>
  <r>
    <x v="6"/>
    <x v="2"/>
    <n v="920"/>
  </r>
  <r>
    <x v="7"/>
    <x v="1"/>
    <n v="310"/>
  </r>
  <r>
    <x v="8"/>
    <x v="0"/>
    <n v="620"/>
  </r>
  <r>
    <x v="9"/>
    <x v="1"/>
    <n v="85"/>
  </r>
  <r>
    <x v="10"/>
    <x v="2"/>
    <n v="1100"/>
  </r>
  <r>
    <x v="11"/>
    <x v="0"/>
    <n v="540"/>
  </r>
  <r>
    <x v="12"/>
    <x v="1"/>
    <n v="430"/>
  </r>
  <r>
    <x v="13"/>
    <x v="0"/>
    <n v="2100"/>
  </r>
  <r>
    <x v="14"/>
    <x v="2"/>
    <n v="760"/>
  </r>
  <r>
    <x v="15"/>
    <x v="1"/>
    <n v="190"/>
  </r>
  <r>
    <x v="16"/>
    <x v="0"/>
    <n v="890"/>
  </r>
  <r>
    <x v="17"/>
    <x v="2"/>
    <n v="1350"/>
  </r>
  <r>
    <x v="18"/>
    <x v="1"/>
    <n v="250"/>
  </r>
  <r>
    <x v="19"/>
    <x v="0"/>
    <n v="670"/>
  </r>
  <r>
    <x v="20"/>
    <x v="2"/>
    <n v="510"/>
  </r>
  <r>
    <x v="21"/>
    <x v="0"/>
    <n v="1420"/>
  </r>
  <r>
    <x v="22"/>
    <x v="1"/>
    <n v="115"/>
  </r>
  <r>
    <x v="23"/>
    <x v="2"/>
    <n v="480"/>
  </r>
  <r>
    <x v="24"/>
    <x v="0"/>
    <n v="950"/>
  </r>
  <r>
    <x v="25"/>
    <x v="1"/>
    <n v="340"/>
  </r>
  <r>
    <x v="26"/>
    <x v="0"/>
    <n v="1800"/>
  </r>
  <r>
    <x v="27"/>
    <x v="2"/>
    <n v="610"/>
  </r>
  <r>
    <x v="28"/>
    <x v="1"/>
    <n v="145"/>
  </r>
  <r>
    <x v="29"/>
    <x v="0"/>
    <n v="1150"/>
  </r>
  <r>
    <x v="30"/>
    <x v="2"/>
    <n v="890"/>
  </r>
  <r>
    <x v="31"/>
    <x v="1"/>
    <n v="210"/>
  </r>
  <r>
    <x v="32"/>
    <x v="0"/>
    <n v="730"/>
  </r>
  <r>
    <x v="33"/>
    <x v="2"/>
    <n v="1600"/>
  </r>
  <r>
    <x v="34"/>
    <x v="1"/>
    <n v="390"/>
  </r>
  <r>
    <x v="35"/>
    <x v="0"/>
    <n v="520"/>
  </r>
  <r>
    <x v="36"/>
    <x v="2"/>
    <n v="980"/>
  </r>
  <r>
    <x v="37"/>
    <x v="1"/>
    <n v="175"/>
  </r>
  <r>
    <x v="38"/>
    <x v="0"/>
    <n v="1300"/>
  </r>
  <r>
    <x v="39"/>
    <x v="2"/>
    <n v="450"/>
  </r>
  <r>
    <x v="40"/>
    <x v="0"/>
    <n v="1650"/>
  </r>
  <r>
    <x v="41"/>
    <x v="1"/>
    <n v="280"/>
  </r>
  <r>
    <x v="42"/>
    <x v="2"/>
    <n v="720"/>
  </r>
  <r>
    <x v="43"/>
    <x v="0"/>
    <n v="390"/>
  </r>
  <r>
    <x v="44"/>
    <x v="1"/>
    <n v="155"/>
  </r>
  <r>
    <x v="45"/>
    <x v="2"/>
    <n v="1150"/>
  </r>
  <r>
    <x v="46"/>
    <x v="0"/>
    <n v="880"/>
  </r>
  <r>
    <x v="47"/>
    <x v="1"/>
    <n v="410"/>
  </r>
  <r>
    <x v="48"/>
    <x v="2"/>
    <n v="630"/>
  </r>
  <r>
    <x v="49"/>
    <x v="0"/>
    <n v="1450"/>
  </r>
  <r>
    <x v="50"/>
    <x v="1"/>
    <n v="230"/>
  </r>
  <r>
    <x v="51"/>
    <x v="2"/>
    <n v="550"/>
  </r>
  <r>
    <x v="52"/>
    <x v="0"/>
    <n v="1900"/>
  </r>
  <r>
    <x v="53"/>
    <x v="1"/>
    <n v="310"/>
  </r>
  <r>
    <x v="54"/>
    <x v="2"/>
    <n v="840"/>
  </r>
  <r>
    <x v="55"/>
    <x v="0"/>
    <n v="610"/>
  </r>
  <r>
    <x v="56"/>
    <x v="1"/>
    <n v="125"/>
  </r>
  <r>
    <x v="57"/>
    <x v="0"/>
    <n v="1750"/>
  </r>
  <r>
    <x v="58"/>
    <x v="2"/>
    <n v="910"/>
  </r>
  <r>
    <x v="59"/>
    <x v="1"/>
    <n v="340"/>
  </r>
  <r>
    <x v="60"/>
    <x v="0"/>
    <n v="1350"/>
  </r>
  <r>
    <x v="61"/>
    <x v="2"/>
    <n v="820"/>
  </r>
  <r>
    <x v="62"/>
    <x v="1"/>
    <n v="190"/>
  </r>
  <r>
    <x v="63"/>
    <x v="0"/>
    <n v="480"/>
  </r>
  <r>
    <x v="64"/>
    <x v="2"/>
    <n v="1050"/>
  </r>
  <r>
    <x v="65"/>
    <x v="0"/>
    <n v="1550"/>
  </r>
  <r>
    <x v="66"/>
    <x v="1"/>
    <n v="270"/>
  </r>
  <r>
    <x v="67"/>
    <x v="2"/>
    <n v="590"/>
  </r>
  <r>
    <x v="68"/>
    <x v="0"/>
    <n v="920"/>
  </r>
  <r>
    <x v="69"/>
    <x v="1"/>
    <n v="160"/>
  </r>
  <r>
    <x v="70"/>
    <x v="0"/>
    <n v="1850"/>
  </r>
  <r>
    <x v="71"/>
    <x v="2"/>
    <n v="470"/>
  </r>
  <r>
    <x v="72"/>
    <x v="1"/>
    <n v="330"/>
  </r>
  <r>
    <x v="73"/>
    <x v="0"/>
    <n v="1100"/>
  </r>
  <r>
    <x v="74"/>
    <x v="2"/>
    <n v="780"/>
  </r>
  <r>
    <x v="75"/>
    <x v="1"/>
    <n v="220"/>
  </r>
  <r>
    <x v="76"/>
    <x v="0"/>
    <n v="1400"/>
  </r>
  <r>
    <x v="77"/>
    <x v="2"/>
    <n v="960"/>
  </r>
  <r>
    <x v="78"/>
    <x v="1"/>
    <n v="180"/>
  </r>
  <r>
    <x v="79"/>
    <x v="0"/>
    <n v="650"/>
  </r>
  <r>
    <x v="80"/>
    <x v="1"/>
    <n v="410"/>
  </r>
  <r>
    <x v="81"/>
    <x v="0"/>
    <n v="1700"/>
  </r>
  <r>
    <x v="82"/>
    <x v="2"/>
    <n v="860"/>
  </r>
  <r>
    <x v="83"/>
    <x v="1"/>
    <n v="150"/>
  </r>
  <r>
    <x v="84"/>
    <x v="0"/>
    <n v="1250"/>
  </r>
  <r>
    <x v="85"/>
    <x v="2"/>
    <n v="1120"/>
  </r>
  <r>
    <x v="86"/>
    <x v="1"/>
    <n v="290"/>
  </r>
  <r>
    <x v="87"/>
    <x v="0"/>
    <n v="580"/>
  </r>
  <r>
    <x v="88"/>
    <x v="2"/>
    <n v="740"/>
  </r>
  <r>
    <x v="89"/>
    <x v="1"/>
    <n v="210"/>
  </r>
  <r>
    <x v="90"/>
    <x v="0"/>
    <n v="1950"/>
  </r>
  <r>
    <x v="91"/>
    <x v="2"/>
    <n v="510"/>
  </r>
  <r>
    <x v="92"/>
    <x v="1"/>
    <n v="360"/>
  </r>
  <r>
    <x v="93"/>
    <x v="0"/>
    <n v="1320"/>
  </r>
  <r>
    <x v="94"/>
    <x v="2"/>
    <n v="890"/>
  </r>
  <r>
    <x v="95"/>
    <x v="1"/>
    <n v="170"/>
  </r>
  <r>
    <x v="96"/>
    <x v="0"/>
    <n v="1480"/>
  </r>
  <r>
    <x v="97"/>
    <x v="2"/>
    <n v="1020"/>
  </r>
  <r>
    <x v="98"/>
    <x v="1"/>
    <n v="260"/>
  </r>
  <r>
    <x v="99"/>
    <x v="0"/>
    <n v="6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5B894D-A4E0-4290-8D7E-3A30C6BF63AF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16:T21" firstHeaderRow="1" firstDataRow="2" firstDataCol="1"/>
  <pivotFields count="6">
    <pivotField numFmtId="14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axis="axisRow" showAll="0">
      <items count="4">
        <item x="2"/>
        <item x="1"/>
        <item x="0"/>
        <item t="default"/>
      </items>
    </pivotField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5">
        <item sd="0" x="0"/>
        <item sd="0" x="1"/>
        <item sd="0" x="2"/>
        <item sd="0" x="3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5"/>
  </colFields>
  <colItems count="3">
    <i>
      <x v="1"/>
    </i>
    <i>
      <x v="2"/>
    </i>
    <i t="grand">
      <x/>
    </i>
  </colItems>
  <dataFields count="1">
    <dataField name="Sum of Sale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E4F87B-6F6C-42B5-A942-C24BA8FA3C7E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J3:L24" firstHeaderRow="1" firstDataRow="1" firstDataCol="2"/>
  <pivotFields count="5">
    <pivotField dataField="1" compact="0" outline="0" showAll="0" defaultSubtotal="0"/>
    <pivotField compact="0" numFmtId="14" outline="0" showAll="0" defaultSubtotal="0">
      <items count="1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</items>
    </pivotField>
    <pivotField axis="axisRow" compact="0" outline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compact="0" outline="0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compact="0" outline="0" showAll="0" defaultSubtotal="0">
      <items count="4">
        <item sd="0" x="0"/>
        <item x="1"/>
        <item x="2"/>
        <item sd="0" x="3"/>
      </items>
    </pivotField>
  </pivotFields>
  <rowFields count="2">
    <field x="4"/>
    <field x="2"/>
  </rowFields>
  <rowItems count="21"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grand">
      <x/>
    </i>
  </rowItems>
  <colItems count="1">
    <i/>
  </colItems>
  <dataFields count="1">
    <dataField name="Sum of Sales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164443-3546-42A2-85C0-8A9430BAFA5E}" name="Table1" displayName="Table1" ref="W17:Z20" totalsRowShown="0">
  <autoFilter ref="W17:Z20" xr:uid="{00164443-3546-42A2-85C0-8A9430BAFA5E}"/>
  <tableColumns count="4">
    <tableColumn id="1" xr3:uid="{7F8C9548-9ECC-44A6-9DD3-C7738AC45624}" name="Category"/>
    <tableColumn id="2" xr3:uid="{F72A7729-285F-4351-AF92-E8A9C05B586F}" name="2025 Sales" dataDxfId="2"/>
    <tableColumn id="3" xr3:uid="{16633B2E-4685-4033-A8FD-96D1BBA58F43}" name="2026 Sales" dataDxfId="1"/>
    <tableColumn id="4" xr3:uid="{6325EE15-349D-44C7-A922-889AE1F692F9}" name="Growth%" dataDxfId="0" dataCellStyle="Percent">
      <calculatedColumnFormula>(Y18 - X18) / X18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9BACC-7548-42F0-9597-AE14126D1588}">
  <dimension ref="A1:Z101"/>
  <sheetViews>
    <sheetView tabSelected="1" zoomScale="44" workbookViewId="0">
      <selection activeCell="P77" sqref="P77"/>
    </sheetView>
  </sheetViews>
  <sheetFormatPr defaultRowHeight="14.4" x14ac:dyDescent="0.3"/>
  <cols>
    <col min="1" max="7" width="15.77734375" customWidth="1"/>
    <col min="9" max="9" width="42" customWidth="1"/>
    <col min="10" max="10" width="20.33203125" bestFit="1" customWidth="1"/>
    <col min="11" max="11" width="32.44140625" bestFit="1" customWidth="1"/>
    <col min="12" max="12" width="16.77734375" bestFit="1" customWidth="1"/>
    <col min="13" max="13" width="21.5546875" bestFit="1" customWidth="1"/>
    <col min="14" max="14" width="16.77734375" customWidth="1"/>
    <col min="15" max="15" width="9.6640625" bestFit="1" customWidth="1"/>
    <col min="17" max="17" width="15.44140625" bestFit="1" customWidth="1"/>
    <col min="18" max="18" width="16.6640625" bestFit="1" customWidth="1"/>
    <col min="19" max="19" width="14.44140625" bestFit="1" customWidth="1"/>
    <col min="20" max="20" width="12.5546875" bestFit="1" customWidth="1"/>
    <col min="21" max="22" width="11.21875" bestFit="1" customWidth="1"/>
    <col min="23" max="23" width="15.6640625" customWidth="1"/>
    <col min="24" max="25" width="12.109375" customWidth="1"/>
    <col min="26" max="118" width="11.2187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131</v>
      </c>
      <c r="I1" t="s">
        <v>132</v>
      </c>
    </row>
    <row r="2" spans="1:20" x14ac:dyDescent="0.3">
      <c r="A2" t="s">
        <v>7</v>
      </c>
      <c r="B2" s="1">
        <v>45662</v>
      </c>
      <c r="C2" t="s">
        <v>8</v>
      </c>
      <c r="D2" t="s">
        <v>9</v>
      </c>
      <c r="E2">
        <v>1250</v>
      </c>
      <c r="F2">
        <v>250</v>
      </c>
      <c r="G2">
        <v>0</v>
      </c>
      <c r="H2" s="4" t="str">
        <f>INDEX(Customers!C:C, MATCH(C2, Customers!A:A, 0))</f>
        <v>West</v>
      </c>
      <c r="I2" s="5" t="str">
        <f>INDEX(Customers!D:D, MATCH(C2, Customers!A:A, 0))</f>
        <v>Consumer</v>
      </c>
      <c r="Q2" s="10" t="s">
        <v>131</v>
      </c>
      <c r="R2" s="10" t="s">
        <v>182</v>
      </c>
      <c r="S2" s="10" t="s">
        <v>183</v>
      </c>
      <c r="T2" s="10" t="s">
        <v>184</v>
      </c>
    </row>
    <row r="3" spans="1:20" x14ac:dyDescent="0.3">
      <c r="A3" t="s">
        <v>10</v>
      </c>
      <c r="B3" s="1">
        <v>45669</v>
      </c>
      <c r="C3" t="s">
        <v>11</v>
      </c>
      <c r="D3" t="s">
        <v>12</v>
      </c>
      <c r="E3">
        <v>120.5</v>
      </c>
      <c r="F3">
        <v>30.1</v>
      </c>
      <c r="G3">
        <v>0</v>
      </c>
      <c r="H3" s="4" t="str">
        <f>INDEX(Customers!C:C, MATCH(C3, Customers!A:A, 0))</f>
        <v>East</v>
      </c>
      <c r="I3" s="5" t="str">
        <f>INDEX(Customers!D:D, MATCH(C3, Customers!A:A, 0))</f>
        <v>Consumer</v>
      </c>
      <c r="J3" s="2" t="s">
        <v>178</v>
      </c>
      <c r="K3" s="2" t="s">
        <v>177</v>
      </c>
      <c r="L3" t="s">
        <v>164</v>
      </c>
      <c r="M3" s="7" t="s">
        <v>179</v>
      </c>
      <c r="N3" s="7" t="s">
        <v>180</v>
      </c>
      <c r="O3" s="7" t="s">
        <v>181</v>
      </c>
      <c r="Q3" s="7" t="s">
        <v>149</v>
      </c>
      <c r="R3" s="7">
        <f>SUMIFS(E:E, H:H, Q3)</f>
        <v>19475</v>
      </c>
      <c r="S3" s="7">
        <f>SUMIFS(F:F, H:H, Q3)</f>
        <v>3583.25</v>
      </c>
      <c r="T3" s="9">
        <f>IF(R3=0, 0, S3/R3)</f>
        <v>0.18399229781771501</v>
      </c>
    </row>
    <row r="4" spans="1:20" x14ac:dyDescent="0.3">
      <c r="A4" t="s">
        <v>13</v>
      </c>
      <c r="B4" s="1">
        <v>45675</v>
      </c>
      <c r="C4" t="s">
        <v>14</v>
      </c>
      <c r="D4" t="s">
        <v>15</v>
      </c>
      <c r="E4">
        <v>850</v>
      </c>
      <c r="F4">
        <v>85</v>
      </c>
      <c r="G4">
        <v>0.1</v>
      </c>
      <c r="H4" s="4" t="str">
        <f>INDEX(Customers!C:C, MATCH(C4, Customers!A:A, 0))</f>
        <v>North</v>
      </c>
      <c r="I4" s="5" t="str">
        <f>INDEX(Customers!D:D, MATCH(C4, Customers!A:A, 0))</f>
        <v>Consumer</v>
      </c>
      <c r="J4" t="s">
        <v>162</v>
      </c>
      <c r="K4" t="s">
        <v>165</v>
      </c>
      <c r="L4">
        <v>2735.5</v>
      </c>
      <c r="M4" s="7"/>
      <c r="N4" s="7"/>
      <c r="O4" s="7"/>
      <c r="Q4" s="7" t="s">
        <v>155</v>
      </c>
      <c r="R4" s="7">
        <f>SUMIFS(E:E, H:H, Q4)</f>
        <v>11150</v>
      </c>
      <c r="S4" s="7">
        <f>SUMIFS(F:F, H:H, Q4)</f>
        <v>-1916.5</v>
      </c>
      <c r="T4" s="9">
        <f t="shared" ref="T4:T6" si="0">IF(R4=0, 0, S4/R4)</f>
        <v>-0.17188340807174887</v>
      </c>
    </row>
    <row r="5" spans="1:20" x14ac:dyDescent="0.3">
      <c r="A5" t="s">
        <v>16</v>
      </c>
      <c r="B5" s="1">
        <v>45679</v>
      </c>
      <c r="C5" t="s">
        <v>17</v>
      </c>
      <c r="D5" t="s">
        <v>9</v>
      </c>
      <c r="E5">
        <v>450</v>
      </c>
      <c r="F5">
        <v>-45</v>
      </c>
      <c r="G5">
        <v>0.3</v>
      </c>
      <c r="H5" s="4" t="str">
        <f>INDEX(Customers!C:C, MATCH(C5, Customers!A:A, 0))</f>
        <v>South</v>
      </c>
      <c r="I5" s="5" t="str">
        <f>INDEX(Customers!D:D, MATCH(C5, Customers!A:A, 0))</f>
        <v>Consumer</v>
      </c>
      <c r="K5" t="s">
        <v>166</v>
      </c>
      <c r="L5">
        <v>3435</v>
      </c>
      <c r="M5" s="7">
        <f>L4</f>
        <v>2735.5</v>
      </c>
      <c r="N5" s="7">
        <f>L5-M5</f>
        <v>699.5</v>
      </c>
      <c r="O5" s="9">
        <f>IFERROR(N5/M5, 0)</f>
        <v>0.25571193566075673</v>
      </c>
      <c r="Q5" s="7" t="s">
        <v>143</v>
      </c>
      <c r="R5" s="7">
        <f>SUMIFS(E:E, H:H, Q5)</f>
        <v>24740.5</v>
      </c>
      <c r="S5" s="7">
        <f>SUMIFS(F:F, H:H, Q5)</f>
        <v>5402.6</v>
      </c>
      <c r="T5" s="9">
        <f t="shared" si="0"/>
        <v>0.218370687738728</v>
      </c>
    </row>
    <row r="6" spans="1:20" x14ac:dyDescent="0.3">
      <c r="A6" t="s">
        <v>18</v>
      </c>
      <c r="B6" s="1">
        <v>45685</v>
      </c>
      <c r="C6" t="s">
        <v>19</v>
      </c>
      <c r="D6" t="s">
        <v>12</v>
      </c>
      <c r="E6">
        <v>65</v>
      </c>
      <c r="F6">
        <v>15</v>
      </c>
      <c r="G6">
        <v>0</v>
      </c>
      <c r="H6" s="4" t="str">
        <f>INDEX(Customers!C:C, MATCH(C6, Customers!A:A, 0))</f>
        <v>West</v>
      </c>
      <c r="I6" s="5" t="str">
        <f>INDEX(Customers!D:D, MATCH(C6, Customers!A:A, 0))</f>
        <v>Corporate</v>
      </c>
      <c r="K6" t="s">
        <v>167</v>
      </c>
      <c r="L6">
        <v>4930</v>
      </c>
      <c r="M6" s="7">
        <f t="shared" ref="M6:M23" si="1">L5</f>
        <v>3435</v>
      </c>
      <c r="N6" s="7">
        <f t="shared" ref="N6:N23" si="2">L6-M6</f>
        <v>1495</v>
      </c>
      <c r="O6" s="9">
        <f t="shared" ref="O6:O23" si="3">IFERROR(N6/M6, 0)</f>
        <v>0.43522561863173215</v>
      </c>
      <c r="Q6" s="7" t="s">
        <v>134</v>
      </c>
      <c r="R6" s="7">
        <f>SUMIFS(E:E, H:H, Q6)</f>
        <v>20320</v>
      </c>
      <c r="S6" s="7">
        <f>SUMIFS(F:F, H:H, Q6)</f>
        <v>4307.75</v>
      </c>
      <c r="T6" s="9">
        <f t="shared" si="0"/>
        <v>0.21199557086614174</v>
      </c>
    </row>
    <row r="7" spans="1:20" x14ac:dyDescent="0.3">
      <c r="A7" t="s">
        <v>20</v>
      </c>
      <c r="B7" s="1">
        <v>45691</v>
      </c>
      <c r="C7" t="s">
        <v>21</v>
      </c>
      <c r="D7" t="s">
        <v>9</v>
      </c>
      <c r="E7">
        <v>1500</v>
      </c>
      <c r="F7">
        <v>375</v>
      </c>
      <c r="G7">
        <v>0.05</v>
      </c>
      <c r="H7" s="4" t="str">
        <f>INDEX(Customers!C:C, MATCH(C7, Customers!A:A, 0))</f>
        <v>East</v>
      </c>
      <c r="I7" s="5" t="str">
        <f>INDEX(Customers!D:D, MATCH(C7, Customers!A:A, 0))</f>
        <v>Corporate</v>
      </c>
      <c r="K7" t="s">
        <v>168</v>
      </c>
      <c r="L7">
        <v>3350</v>
      </c>
      <c r="M7" s="7">
        <f t="shared" si="1"/>
        <v>4930</v>
      </c>
      <c r="N7" s="7">
        <f t="shared" si="2"/>
        <v>-1580</v>
      </c>
      <c r="O7" s="9">
        <f t="shared" si="3"/>
        <v>-0.32048681541582152</v>
      </c>
    </row>
    <row r="8" spans="1:20" x14ac:dyDescent="0.3">
      <c r="A8" t="s">
        <v>22</v>
      </c>
      <c r="B8" s="1">
        <v>45697</v>
      </c>
      <c r="C8" t="s">
        <v>23</v>
      </c>
      <c r="D8" t="s">
        <v>15</v>
      </c>
      <c r="E8">
        <v>920</v>
      </c>
      <c r="F8">
        <v>46</v>
      </c>
      <c r="G8">
        <v>0.15</v>
      </c>
      <c r="H8" s="4" t="str">
        <f>INDEX(Customers!C:C, MATCH(C8, Customers!A:A, 0))</f>
        <v>North</v>
      </c>
      <c r="I8" s="5" t="str">
        <f>INDEX(Customers!D:D, MATCH(C8, Customers!A:A, 0))</f>
        <v>Corporate</v>
      </c>
      <c r="K8" t="s">
        <v>169</v>
      </c>
      <c r="L8">
        <v>3475</v>
      </c>
      <c r="M8" s="7">
        <f t="shared" si="1"/>
        <v>3350</v>
      </c>
      <c r="N8" s="7">
        <f t="shared" si="2"/>
        <v>125</v>
      </c>
      <c r="O8" s="9">
        <f t="shared" si="3"/>
        <v>3.7313432835820892E-2</v>
      </c>
    </row>
    <row r="9" spans="1:20" x14ac:dyDescent="0.3">
      <c r="A9" t="s">
        <v>24</v>
      </c>
      <c r="B9" s="1">
        <v>45702</v>
      </c>
      <c r="C9" t="s">
        <v>25</v>
      </c>
      <c r="D9" t="s">
        <v>12</v>
      </c>
      <c r="E9">
        <v>310</v>
      </c>
      <c r="F9">
        <v>-31</v>
      </c>
      <c r="G9">
        <v>0.25</v>
      </c>
      <c r="H9" s="4" t="str">
        <f>INDEX(Customers!C:C, MATCH(C9, Customers!A:A, 0))</f>
        <v>South</v>
      </c>
      <c r="I9" s="5" t="str">
        <f>INDEX(Customers!D:D, MATCH(C9, Customers!A:A, 0))</f>
        <v>Corporate</v>
      </c>
      <c r="K9" t="s">
        <v>170</v>
      </c>
      <c r="L9">
        <v>4045</v>
      </c>
      <c r="M9" s="7">
        <f t="shared" si="1"/>
        <v>3475</v>
      </c>
      <c r="N9" s="7">
        <f t="shared" si="2"/>
        <v>570</v>
      </c>
      <c r="O9" s="9">
        <f t="shared" si="3"/>
        <v>0.16402877697841728</v>
      </c>
      <c r="Q9" s="7" t="s">
        <v>185</v>
      </c>
      <c r="R9" s="7" t="s">
        <v>186</v>
      </c>
      <c r="S9" s="7" t="s">
        <v>187</v>
      </c>
    </row>
    <row r="10" spans="1:20" x14ac:dyDescent="0.3">
      <c r="A10" t="s">
        <v>26</v>
      </c>
      <c r="B10" s="1">
        <v>45707</v>
      </c>
      <c r="C10" t="s">
        <v>27</v>
      </c>
      <c r="D10" t="s">
        <v>9</v>
      </c>
      <c r="E10">
        <v>620</v>
      </c>
      <c r="F10">
        <v>124</v>
      </c>
      <c r="G10">
        <v>0.1</v>
      </c>
      <c r="H10" s="4" t="str">
        <f>INDEX(Customers!C:C, MATCH(C10, Customers!A:A, 0))</f>
        <v>West</v>
      </c>
      <c r="I10" s="5" t="str">
        <f>INDEX(Customers!D:D, MATCH(C10, Customers!A:A, 0))</f>
        <v>Home Office</v>
      </c>
      <c r="K10" t="s">
        <v>171</v>
      </c>
      <c r="L10">
        <v>3820</v>
      </c>
      <c r="M10" s="7">
        <f t="shared" si="1"/>
        <v>4045</v>
      </c>
      <c r="N10" s="7">
        <f t="shared" si="2"/>
        <v>-225</v>
      </c>
      <c r="O10" s="9">
        <f t="shared" si="3"/>
        <v>-5.5624227441285541E-2</v>
      </c>
      <c r="Q10" s="7" t="s">
        <v>135</v>
      </c>
      <c r="R10" s="8">
        <f>SUMIFS(E:E, I:I, Q10)</f>
        <v>29745.5</v>
      </c>
      <c r="S10" s="9">
        <f>R10/SUM($R$10:$R$12)</f>
        <v>0.3930145140086278</v>
      </c>
    </row>
    <row r="11" spans="1:20" x14ac:dyDescent="0.3">
      <c r="A11" t="s">
        <v>28</v>
      </c>
      <c r="B11" s="1">
        <v>45713</v>
      </c>
      <c r="C11" t="s">
        <v>29</v>
      </c>
      <c r="D11" t="s">
        <v>12</v>
      </c>
      <c r="E11">
        <v>85</v>
      </c>
      <c r="F11">
        <v>21.25</v>
      </c>
      <c r="G11">
        <v>0</v>
      </c>
      <c r="H11" s="4" t="str">
        <f>INDEX(Customers!C:C, MATCH(C11, Customers!A:A, 0))</f>
        <v>East</v>
      </c>
      <c r="I11" s="5" t="str">
        <f>INDEX(Customers!D:D, MATCH(C11, Customers!A:A, 0))</f>
        <v>Home Office</v>
      </c>
      <c r="K11" t="s">
        <v>172</v>
      </c>
      <c r="L11">
        <v>3425</v>
      </c>
      <c r="M11" s="7">
        <f t="shared" si="1"/>
        <v>3820</v>
      </c>
      <c r="N11" s="7">
        <f t="shared" si="2"/>
        <v>-395</v>
      </c>
      <c r="O11" s="9">
        <f t="shared" si="3"/>
        <v>-0.10340314136125654</v>
      </c>
      <c r="Q11" s="7" t="s">
        <v>137</v>
      </c>
      <c r="R11" s="8">
        <f>SUMIFS(E:E, I:I, Q11)</f>
        <v>31530</v>
      </c>
      <c r="S11" s="9">
        <f t="shared" ref="S11:S12" si="4">R11/SUM($R$10:$R$12)</f>
        <v>0.41659234595794437</v>
      </c>
    </row>
    <row r="12" spans="1:20" x14ac:dyDescent="0.3">
      <c r="A12" t="s">
        <v>30</v>
      </c>
      <c r="B12" s="1">
        <v>45718</v>
      </c>
      <c r="C12" t="s">
        <v>31</v>
      </c>
      <c r="D12" t="s">
        <v>15</v>
      </c>
      <c r="E12">
        <v>1100</v>
      </c>
      <c r="F12">
        <v>165</v>
      </c>
      <c r="G12">
        <v>0.05</v>
      </c>
      <c r="H12" s="4" t="str">
        <f>INDEX(Customers!C:C, MATCH(C12, Customers!A:A, 0))</f>
        <v>North</v>
      </c>
      <c r="I12" s="5" t="str">
        <f>INDEX(Customers!D:D, MATCH(C12, Customers!A:A, 0))</f>
        <v>Home Office</v>
      </c>
      <c r="K12" t="s">
        <v>173</v>
      </c>
      <c r="L12">
        <v>3195</v>
      </c>
      <c r="M12" s="7">
        <f t="shared" si="1"/>
        <v>3425</v>
      </c>
      <c r="N12" s="7">
        <f t="shared" si="2"/>
        <v>-230</v>
      </c>
      <c r="O12" s="9">
        <f t="shared" si="3"/>
        <v>-6.7153284671532851E-2</v>
      </c>
      <c r="Q12" s="7" t="s">
        <v>139</v>
      </c>
      <c r="R12" s="8">
        <f>SUMIFS(E:E, I:I, Q12)</f>
        <v>14410</v>
      </c>
      <c r="S12" s="9">
        <f t="shared" si="4"/>
        <v>0.1903931400334278</v>
      </c>
    </row>
    <row r="13" spans="1:20" x14ac:dyDescent="0.3">
      <c r="A13" t="s">
        <v>32</v>
      </c>
      <c r="B13" s="1">
        <v>45724</v>
      </c>
      <c r="C13" t="s">
        <v>33</v>
      </c>
      <c r="D13" t="s">
        <v>9</v>
      </c>
      <c r="E13">
        <v>540</v>
      </c>
      <c r="F13">
        <v>-108</v>
      </c>
      <c r="G13">
        <v>0.35</v>
      </c>
      <c r="H13" s="4" t="str">
        <f>INDEX(Customers!C:C, MATCH(C13, Customers!A:A, 0))</f>
        <v>South</v>
      </c>
      <c r="I13" s="5" t="str">
        <f>INDEX(Customers!D:D, MATCH(C13, Customers!A:A, 0))</f>
        <v>Home Office</v>
      </c>
      <c r="K13" t="s">
        <v>174</v>
      </c>
      <c r="L13">
        <v>4520</v>
      </c>
      <c r="M13" s="7">
        <f t="shared" si="1"/>
        <v>3195</v>
      </c>
      <c r="N13" s="7">
        <f t="shared" si="2"/>
        <v>1325</v>
      </c>
      <c r="O13" s="9">
        <f t="shared" si="3"/>
        <v>0.41471048513302033</v>
      </c>
    </row>
    <row r="14" spans="1:20" x14ac:dyDescent="0.3">
      <c r="A14" t="s">
        <v>34</v>
      </c>
      <c r="B14" s="1">
        <v>45731</v>
      </c>
      <c r="C14" t="s">
        <v>35</v>
      </c>
      <c r="D14" t="s">
        <v>12</v>
      </c>
      <c r="E14">
        <v>430</v>
      </c>
      <c r="F14">
        <v>86</v>
      </c>
      <c r="G14">
        <v>0.1</v>
      </c>
      <c r="H14" s="4" t="str">
        <f>INDEX(Customers!C:C, MATCH(C14, Customers!A:A, 0))</f>
        <v>West</v>
      </c>
      <c r="I14" s="5" t="str">
        <f>INDEX(Customers!D:D, MATCH(C14, Customers!A:A, 0))</f>
        <v>Consumer</v>
      </c>
      <c r="K14" t="s">
        <v>175</v>
      </c>
      <c r="L14">
        <v>3830</v>
      </c>
      <c r="M14" s="7">
        <f t="shared" si="1"/>
        <v>4520</v>
      </c>
      <c r="N14" s="7">
        <f t="shared" si="2"/>
        <v>-690</v>
      </c>
      <c r="O14" s="9">
        <f t="shared" si="3"/>
        <v>-0.15265486725663716</v>
      </c>
    </row>
    <row r="15" spans="1:20" x14ac:dyDescent="0.3">
      <c r="A15" t="s">
        <v>36</v>
      </c>
      <c r="B15" s="1">
        <v>45737</v>
      </c>
      <c r="C15" t="s">
        <v>37</v>
      </c>
      <c r="D15" t="s">
        <v>9</v>
      </c>
      <c r="E15">
        <v>2100</v>
      </c>
      <c r="F15">
        <v>525</v>
      </c>
      <c r="G15">
        <v>0</v>
      </c>
      <c r="H15" s="4" t="str">
        <f>INDEX(Customers!C:C, MATCH(C15, Customers!A:A, 0))</f>
        <v>East</v>
      </c>
      <c r="I15" s="5" t="str">
        <f>INDEX(Customers!D:D, MATCH(C15, Customers!A:A, 0))</f>
        <v>Consumer</v>
      </c>
      <c r="K15" t="s">
        <v>176</v>
      </c>
      <c r="L15">
        <v>3735</v>
      </c>
      <c r="M15" s="7">
        <f t="shared" si="1"/>
        <v>3830</v>
      </c>
      <c r="N15" s="7">
        <f t="shared" si="2"/>
        <v>-95</v>
      </c>
      <c r="O15" s="9">
        <f t="shared" si="3"/>
        <v>-2.4804177545691905E-2</v>
      </c>
    </row>
    <row r="16" spans="1:20" x14ac:dyDescent="0.3">
      <c r="A16" t="s">
        <v>38</v>
      </c>
      <c r="B16" s="1">
        <v>45743</v>
      </c>
      <c r="C16" t="s">
        <v>39</v>
      </c>
      <c r="D16" t="s">
        <v>15</v>
      </c>
      <c r="E16">
        <v>760</v>
      </c>
      <c r="F16">
        <v>76</v>
      </c>
      <c r="G16">
        <v>0.1</v>
      </c>
      <c r="H16" s="4" t="str">
        <f>INDEX(Customers!C:C, MATCH(C16, Customers!A:A, 0))</f>
        <v>North</v>
      </c>
      <c r="I16" s="5" t="str">
        <f>INDEX(Customers!D:D, MATCH(C16, Customers!A:A, 0))</f>
        <v>Consumer</v>
      </c>
      <c r="J16" t="s">
        <v>163</v>
      </c>
      <c r="K16" t="s">
        <v>165</v>
      </c>
      <c r="L16">
        <v>3890</v>
      </c>
      <c r="M16" s="7">
        <f t="shared" si="1"/>
        <v>3735</v>
      </c>
      <c r="N16" s="7">
        <f t="shared" si="2"/>
        <v>155</v>
      </c>
      <c r="O16" s="9">
        <f t="shared" si="3"/>
        <v>4.1499330655957165E-2</v>
      </c>
      <c r="Q16" s="2" t="s">
        <v>164</v>
      </c>
      <c r="R16" s="2" t="s">
        <v>188</v>
      </c>
    </row>
    <row r="17" spans="1:26" x14ac:dyDescent="0.3">
      <c r="A17" t="s">
        <v>40</v>
      </c>
      <c r="B17" s="1">
        <v>45751</v>
      </c>
      <c r="C17" t="s">
        <v>41</v>
      </c>
      <c r="D17" t="s">
        <v>12</v>
      </c>
      <c r="E17">
        <v>190</v>
      </c>
      <c r="F17">
        <v>-19</v>
      </c>
      <c r="G17">
        <v>0.3</v>
      </c>
      <c r="H17" s="4" t="str">
        <f>INDEX(Customers!C:C, MATCH(C17, Customers!A:A, 0))</f>
        <v>South</v>
      </c>
      <c r="I17" s="5" t="str">
        <f>INDEX(Customers!D:D, MATCH(C17, Customers!A:A, 0))</f>
        <v>Consumer</v>
      </c>
      <c r="K17" t="s">
        <v>166</v>
      </c>
      <c r="L17">
        <v>3490</v>
      </c>
      <c r="M17" s="7">
        <f t="shared" si="1"/>
        <v>3890</v>
      </c>
      <c r="N17" s="7">
        <f t="shared" si="2"/>
        <v>-400</v>
      </c>
      <c r="O17" s="9">
        <f t="shared" si="3"/>
        <v>-0.10282776349614396</v>
      </c>
      <c r="Q17" s="2" t="s">
        <v>160</v>
      </c>
      <c r="R17" t="s">
        <v>162</v>
      </c>
      <c r="S17" t="s">
        <v>163</v>
      </c>
      <c r="T17" t="s">
        <v>161</v>
      </c>
      <c r="W17" t="s">
        <v>3</v>
      </c>
      <c r="X17" t="s">
        <v>189</v>
      </c>
      <c r="Y17" t="s">
        <v>190</v>
      </c>
      <c r="Z17" t="s">
        <v>181</v>
      </c>
    </row>
    <row r="18" spans="1:26" x14ac:dyDescent="0.3">
      <c r="A18" t="s">
        <v>42</v>
      </c>
      <c r="B18" s="1">
        <v>45757</v>
      </c>
      <c r="C18" t="s">
        <v>43</v>
      </c>
      <c r="D18" t="s">
        <v>9</v>
      </c>
      <c r="E18">
        <v>890</v>
      </c>
      <c r="F18">
        <v>178</v>
      </c>
      <c r="G18">
        <v>0.05</v>
      </c>
      <c r="H18" s="4" t="str">
        <f>INDEX(Customers!C:C, MATCH(C18, Customers!A:A, 0))</f>
        <v>West</v>
      </c>
      <c r="I18" s="5" t="str">
        <f>INDEX(Customers!D:D, MATCH(C18, Customers!A:A, 0))</f>
        <v>Corporate</v>
      </c>
      <c r="K18" t="s">
        <v>167</v>
      </c>
      <c r="L18">
        <v>4530</v>
      </c>
      <c r="M18" s="7">
        <f t="shared" si="1"/>
        <v>3490</v>
      </c>
      <c r="N18" s="7">
        <f t="shared" si="2"/>
        <v>1040</v>
      </c>
      <c r="O18" s="9">
        <f t="shared" si="3"/>
        <v>0.29799426934097423</v>
      </c>
      <c r="Q18" s="3" t="s">
        <v>15</v>
      </c>
      <c r="R18">
        <v>15300</v>
      </c>
      <c r="S18">
        <v>9810</v>
      </c>
      <c r="T18">
        <v>25110</v>
      </c>
      <c r="W18" t="s">
        <v>15</v>
      </c>
      <c r="X18">
        <v>15300</v>
      </c>
      <c r="Y18">
        <v>9810</v>
      </c>
      <c r="Z18" s="6">
        <f>(Y18 - X18) / X18</f>
        <v>-0.35882352941176471</v>
      </c>
    </row>
    <row r="19" spans="1:26" x14ac:dyDescent="0.3">
      <c r="A19" t="s">
        <v>44</v>
      </c>
      <c r="B19" s="1">
        <v>45763</v>
      </c>
      <c r="C19" t="s">
        <v>45</v>
      </c>
      <c r="D19" t="s">
        <v>15</v>
      </c>
      <c r="E19">
        <v>1350</v>
      </c>
      <c r="F19">
        <v>202.5</v>
      </c>
      <c r="G19">
        <v>0</v>
      </c>
      <c r="H19" s="4" t="str">
        <f>INDEX(Customers!C:C, MATCH(C19, Customers!A:A, 0))</f>
        <v>East</v>
      </c>
      <c r="I19" s="5" t="str">
        <f>INDEX(Customers!D:D, MATCH(C19, Customers!A:A, 0))</f>
        <v>Corporate</v>
      </c>
      <c r="K19" t="s">
        <v>168</v>
      </c>
      <c r="L19">
        <v>3410</v>
      </c>
      <c r="M19" s="7">
        <f t="shared" si="1"/>
        <v>4530</v>
      </c>
      <c r="N19" s="7">
        <f t="shared" si="2"/>
        <v>-1120</v>
      </c>
      <c r="O19" s="9">
        <f t="shared" si="3"/>
        <v>-0.24724061810154527</v>
      </c>
      <c r="Q19" s="3" t="s">
        <v>12</v>
      </c>
      <c r="R19">
        <v>4675.5</v>
      </c>
      <c r="S19">
        <v>3200</v>
      </c>
      <c r="T19">
        <v>7875.5</v>
      </c>
      <c r="W19" t="s">
        <v>12</v>
      </c>
      <c r="X19">
        <v>4675.5</v>
      </c>
      <c r="Y19">
        <v>3200</v>
      </c>
      <c r="Z19" s="6">
        <f t="shared" ref="Z19:Z20" si="5">(Y19 - X19) / X19</f>
        <v>-0.31558122125975829</v>
      </c>
    </row>
    <row r="20" spans="1:26" x14ac:dyDescent="0.3">
      <c r="A20" t="s">
        <v>46</v>
      </c>
      <c r="B20" s="1">
        <v>45769</v>
      </c>
      <c r="C20" t="s">
        <v>47</v>
      </c>
      <c r="D20" t="s">
        <v>12</v>
      </c>
      <c r="E20">
        <v>250</v>
      </c>
      <c r="F20">
        <v>50</v>
      </c>
      <c r="G20">
        <v>0.1</v>
      </c>
      <c r="H20" s="4" t="str">
        <f>INDEX(Customers!C:C, MATCH(C20, Customers!A:A, 0))</f>
        <v>North</v>
      </c>
      <c r="I20" s="5" t="str">
        <f>INDEX(Customers!D:D, MATCH(C20, Customers!A:A, 0))</f>
        <v>Corporate</v>
      </c>
      <c r="K20" t="s">
        <v>169</v>
      </c>
      <c r="L20">
        <v>4370</v>
      </c>
      <c r="M20" s="7">
        <f t="shared" si="1"/>
        <v>3410</v>
      </c>
      <c r="N20" s="7">
        <f t="shared" si="2"/>
        <v>960</v>
      </c>
      <c r="O20" s="9">
        <f t="shared" si="3"/>
        <v>0.28152492668621704</v>
      </c>
      <c r="Q20" s="3" t="s">
        <v>9</v>
      </c>
      <c r="R20">
        <v>24520</v>
      </c>
      <c r="S20">
        <v>18180</v>
      </c>
      <c r="T20">
        <v>42700</v>
      </c>
      <c r="W20" t="s">
        <v>9</v>
      </c>
      <c r="X20">
        <v>24520</v>
      </c>
      <c r="Y20">
        <v>18180</v>
      </c>
      <c r="Z20" s="6">
        <f t="shared" si="5"/>
        <v>-0.25856443719412725</v>
      </c>
    </row>
    <row r="21" spans="1:26" x14ac:dyDescent="0.3">
      <c r="A21" t="s">
        <v>48</v>
      </c>
      <c r="B21" s="1">
        <v>45775</v>
      </c>
      <c r="C21" t="s">
        <v>49</v>
      </c>
      <c r="D21" t="s">
        <v>9</v>
      </c>
      <c r="E21">
        <v>670</v>
      </c>
      <c r="F21">
        <v>-134</v>
      </c>
      <c r="G21">
        <v>0.4</v>
      </c>
      <c r="H21" s="4" t="str">
        <f>INDEX(Customers!C:C, MATCH(C21, Customers!A:A, 0))</f>
        <v>South</v>
      </c>
      <c r="I21" s="5" t="str">
        <f>INDEX(Customers!D:D, MATCH(C21, Customers!A:A, 0))</f>
        <v>Corporate</v>
      </c>
      <c r="K21" t="s">
        <v>170</v>
      </c>
      <c r="L21">
        <v>2940</v>
      </c>
      <c r="M21" s="7">
        <f t="shared" si="1"/>
        <v>4370</v>
      </c>
      <c r="N21" s="7">
        <f t="shared" si="2"/>
        <v>-1430</v>
      </c>
      <c r="O21" s="9">
        <f t="shared" si="3"/>
        <v>-0.32723112128146453</v>
      </c>
      <c r="Q21" s="3" t="s">
        <v>161</v>
      </c>
      <c r="R21">
        <v>44495.5</v>
      </c>
      <c r="S21">
        <v>31190</v>
      </c>
      <c r="T21">
        <v>75685.5</v>
      </c>
    </row>
    <row r="22" spans="1:26" x14ac:dyDescent="0.3">
      <c r="A22" t="s">
        <v>50</v>
      </c>
      <c r="B22" s="1">
        <v>45780</v>
      </c>
      <c r="C22" t="s">
        <v>8</v>
      </c>
      <c r="D22" t="s">
        <v>15</v>
      </c>
      <c r="E22">
        <v>510</v>
      </c>
      <c r="F22">
        <v>51</v>
      </c>
      <c r="G22">
        <v>0.1</v>
      </c>
      <c r="H22" s="4" t="str">
        <f>INDEX(Customers!C:C, MATCH(C22, Customers!A:A, 0))</f>
        <v>West</v>
      </c>
      <c r="I22" s="5" t="str">
        <f>INDEX(Customers!D:D, MATCH(C22, Customers!A:A, 0))</f>
        <v>Consumer</v>
      </c>
      <c r="K22" t="s">
        <v>171</v>
      </c>
      <c r="L22">
        <v>5030</v>
      </c>
      <c r="M22" s="7">
        <f t="shared" si="1"/>
        <v>2940</v>
      </c>
      <c r="N22" s="7">
        <f t="shared" si="2"/>
        <v>2090</v>
      </c>
      <c r="O22" s="9">
        <f t="shared" si="3"/>
        <v>0.71088435374149661</v>
      </c>
    </row>
    <row r="23" spans="1:26" x14ac:dyDescent="0.3">
      <c r="A23" t="s">
        <v>51</v>
      </c>
      <c r="B23" s="1">
        <v>45786</v>
      </c>
      <c r="C23" t="s">
        <v>11</v>
      </c>
      <c r="D23" t="s">
        <v>9</v>
      </c>
      <c r="E23">
        <v>1420</v>
      </c>
      <c r="F23">
        <v>355</v>
      </c>
      <c r="G23">
        <v>0</v>
      </c>
      <c r="H23" s="4" t="str">
        <f>INDEX(Customers!C:C, MATCH(C23, Customers!A:A, 0))</f>
        <v>East</v>
      </c>
      <c r="I23" s="5" t="str">
        <f>INDEX(Customers!D:D, MATCH(C23, Customers!A:A, 0))</f>
        <v>Consumer</v>
      </c>
      <c r="K23" t="s">
        <v>172</v>
      </c>
      <c r="L23">
        <v>3530</v>
      </c>
      <c r="M23" s="7">
        <f t="shared" si="1"/>
        <v>5030</v>
      </c>
      <c r="N23" s="7">
        <f t="shared" si="2"/>
        <v>-1500</v>
      </c>
      <c r="O23" s="9">
        <f t="shared" si="3"/>
        <v>-0.29821073558648109</v>
      </c>
    </row>
    <row r="24" spans="1:26" x14ac:dyDescent="0.3">
      <c r="A24" t="s">
        <v>52</v>
      </c>
      <c r="B24" s="1">
        <v>45792</v>
      </c>
      <c r="C24" t="s">
        <v>14</v>
      </c>
      <c r="D24" t="s">
        <v>12</v>
      </c>
      <c r="E24">
        <v>115</v>
      </c>
      <c r="F24">
        <v>28.75</v>
      </c>
      <c r="G24">
        <v>0</v>
      </c>
      <c r="H24" s="4" t="str">
        <f>INDEX(Customers!C:C, MATCH(C24, Customers!A:A, 0))</f>
        <v>North</v>
      </c>
      <c r="I24" s="5" t="str">
        <f>INDEX(Customers!D:D, MATCH(C24, Customers!A:A, 0))</f>
        <v>Consumer</v>
      </c>
      <c r="J24" t="s">
        <v>161</v>
      </c>
      <c r="L24">
        <v>75685.5</v>
      </c>
    </row>
    <row r="25" spans="1:26" x14ac:dyDescent="0.3">
      <c r="A25" t="s">
        <v>53</v>
      </c>
      <c r="B25" s="1">
        <v>45797</v>
      </c>
      <c r="C25" t="s">
        <v>17</v>
      </c>
      <c r="D25" t="s">
        <v>15</v>
      </c>
      <c r="E25">
        <v>480</v>
      </c>
      <c r="F25">
        <v>-72</v>
      </c>
      <c r="G25">
        <v>0.3</v>
      </c>
      <c r="H25" s="4" t="str">
        <f>INDEX(Customers!C:C, MATCH(C25, Customers!A:A, 0))</f>
        <v>South</v>
      </c>
      <c r="I25" s="5" t="str">
        <f>INDEX(Customers!D:D, MATCH(C25, Customers!A:A, 0))</f>
        <v>Consumer</v>
      </c>
    </row>
    <row r="26" spans="1:26" x14ac:dyDescent="0.3">
      <c r="A26" t="s">
        <v>54</v>
      </c>
      <c r="B26" s="1">
        <v>45803</v>
      </c>
      <c r="C26" t="s">
        <v>19</v>
      </c>
      <c r="D26" t="s">
        <v>9</v>
      </c>
      <c r="E26">
        <v>950</v>
      </c>
      <c r="F26">
        <v>190</v>
      </c>
      <c r="G26">
        <v>0.1</v>
      </c>
      <c r="H26" s="4" t="str">
        <f>INDEX(Customers!C:C, MATCH(C26, Customers!A:A, 0))</f>
        <v>West</v>
      </c>
      <c r="I26" s="5" t="str">
        <f>INDEX(Customers!D:D, MATCH(C26, Customers!A:A, 0))</f>
        <v>Corporate</v>
      </c>
    </row>
    <row r="27" spans="1:26" x14ac:dyDescent="0.3">
      <c r="A27" t="s">
        <v>55</v>
      </c>
      <c r="B27" s="1">
        <v>45809</v>
      </c>
      <c r="C27" t="s">
        <v>21</v>
      </c>
      <c r="D27" t="s">
        <v>12</v>
      </c>
      <c r="E27">
        <v>340</v>
      </c>
      <c r="F27">
        <v>68</v>
      </c>
      <c r="G27">
        <v>0.1</v>
      </c>
      <c r="H27" s="4" t="str">
        <f>INDEX(Customers!C:C, MATCH(C27, Customers!A:A, 0))</f>
        <v>East</v>
      </c>
      <c r="I27" s="5" t="str">
        <f>INDEX(Customers!D:D, MATCH(C27, Customers!A:A, 0))</f>
        <v>Corporate</v>
      </c>
    </row>
    <row r="28" spans="1:26" x14ac:dyDescent="0.3">
      <c r="A28" t="s">
        <v>56</v>
      </c>
      <c r="B28" s="1">
        <v>45815</v>
      </c>
      <c r="C28" t="s">
        <v>23</v>
      </c>
      <c r="D28" t="s">
        <v>9</v>
      </c>
      <c r="E28">
        <v>1800</v>
      </c>
      <c r="F28">
        <v>450</v>
      </c>
      <c r="G28">
        <v>0.05</v>
      </c>
      <c r="H28" s="4" t="str">
        <f>INDEX(Customers!C:C, MATCH(C28, Customers!A:A, 0))</f>
        <v>North</v>
      </c>
      <c r="I28" s="5" t="str">
        <f>INDEX(Customers!D:D, MATCH(C28, Customers!A:A, 0))</f>
        <v>Corporate</v>
      </c>
    </row>
    <row r="29" spans="1:26" x14ac:dyDescent="0.3">
      <c r="A29" t="s">
        <v>57</v>
      </c>
      <c r="B29" s="1">
        <v>45820</v>
      </c>
      <c r="C29" t="s">
        <v>25</v>
      </c>
      <c r="D29" t="s">
        <v>15</v>
      </c>
      <c r="E29">
        <v>610</v>
      </c>
      <c r="F29">
        <v>-61</v>
      </c>
      <c r="G29">
        <v>0.25</v>
      </c>
      <c r="H29" s="4" t="str">
        <f>INDEX(Customers!C:C, MATCH(C29, Customers!A:A, 0))</f>
        <v>South</v>
      </c>
      <c r="I29" s="5" t="str">
        <f>INDEX(Customers!D:D, MATCH(C29, Customers!A:A, 0))</f>
        <v>Corporate</v>
      </c>
    </row>
    <row r="30" spans="1:26" x14ac:dyDescent="0.3">
      <c r="A30" t="s">
        <v>58</v>
      </c>
      <c r="B30" s="1">
        <v>45826</v>
      </c>
      <c r="C30" t="s">
        <v>27</v>
      </c>
      <c r="D30" t="s">
        <v>12</v>
      </c>
      <c r="E30">
        <v>145</v>
      </c>
      <c r="F30">
        <v>36.25</v>
      </c>
      <c r="G30">
        <v>0</v>
      </c>
      <c r="H30" s="4" t="str">
        <f>INDEX(Customers!C:C, MATCH(C30, Customers!A:A, 0))</f>
        <v>West</v>
      </c>
      <c r="I30" s="5" t="str">
        <f>INDEX(Customers!D:D, MATCH(C30, Customers!A:A, 0))</f>
        <v>Home Office</v>
      </c>
    </row>
    <row r="31" spans="1:26" x14ac:dyDescent="0.3">
      <c r="A31" t="s">
        <v>59</v>
      </c>
      <c r="B31" s="1">
        <v>45832</v>
      </c>
      <c r="C31" t="s">
        <v>29</v>
      </c>
      <c r="D31" t="s">
        <v>9</v>
      </c>
      <c r="E31">
        <v>1150</v>
      </c>
      <c r="F31">
        <v>230</v>
      </c>
      <c r="G31">
        <v>0.1</v>
      </c>
      <c r="H31" s="4" t="str">
        <f>INDEX(Customers!C:C, MATCH(C31, Customers!A:A, 0))</f>
        <v>East</v>
      </c>
      <c r="I31" s="5" t="str">
        <f>INDEX(Customers!D:D, MATCH(C31, Customers!A:A, 0))</f>
        <v>Home Office</v>
      </c>
    </row>
    <row r="32" spans="1:26" x14ac:dyDescent="0.3">
      <c r="A32" t="s">
        <v>60</v>
      </c>
      <c r="B32" s="1">
        <v>45840</v>
      </c>
      <c r="C32" t="s">
        <v>31</v>
      </c>
      <c r="D32" t="s">
        <v>15</v>
      </c>
      <c r="E32">
        <v>890</v>
      </c>
      <c r="F32">
        <v>133.5</v>
      </c>
      <c r="G32">
        <v>0.05</v>
      </c>
      <c r="H32" s="4" t="str">
        <f>INDEX(Customers!C:C, MATCH(C32, Customers!A:A, 0))</f>
        <v>North</v>
      </c>
      <c r="I32" s="5" t="str">
        <f>INDEX(Customers!D:D, MATCH(C32, Customers!A:A, 0))</f>
        <v>Home Office</v>
      </c>
    </row>
    <row r="33" spans="1:9" x14ac:dyDescent="0.3">
      <c r="A33" t="s">
        <v>61</v>
      </c>
      <c r="B33" s="1">
        <v>45846</v>
      </c>
      <c r="C33" t="s">
        <v>33</v>
      </c>
      <c r="D33" t="s">
        <v>12</v>
      </c>
      <c r="E33">
        <v>210</v>
      </c>
      <c r="F33">
        <v>-42</v>
      </c>
      <c r="G33">
        <v>0.35</v>
      </c>
      <c r="H33" s="4" t="str">
        <f>INDEX(Customers!C:C, MATCH(C33, Customers!A:A, 0))</f>
        <v>South</v>
      </c>
      <c r="I33" s="5" t="str">
        <f>INDEX(Customers!D:D, MATCH(C33, Customers!A:A, 0))</f>
        <v>Home Office</v>
      </c>
    </row>
    <row r="34" spans="1:9" x14ac:dyDescent="0.3">
      <c r="A34" t="s">
        <v>62</v>
      </c>
      <c r="B34" s="1">
        <v>45852</v>
      </c>
      <c r="C34" t="s">
        <v>35</v>
      </c>
      <c r="D34" t="s">
        <v>9</v>
      </c>
      <c r="E34">
        <v>730</v>
      </c>
      <c r="F34">
        <v>146</v>
      </c>
      <c r="G34">
        <v>0.1</v>
      </c>
      <c r="H34" s="4" t="str">
        <f>INDEX(Customers!C:C, MATCH(C34, Customers!A:A, 0))</f>
        <v>West</v>
      </c>
      <c r="I34" s="5" t="str">
        <f>INDEX(Customers!D:D, MATCH(C34, Customers!A:A, 0))</f>
        <v>Consumer</v>
      </c>
    </row>
    <row r="35" spans="1:9" x14ac:dyDescent="0.3">
      <c r="A35" t="s">
        <v>63</v>
      </c>
      <c r="B35" s="1">
        <v>45858</v>
      </c>
      <c r="C35" t="s">
        <v>37</v>
      </c>
      <c r="D35" t="s">
        <v>15</v>
      </c>
      <c r="E35">
        <v>1600</v>
      </c>
      <c r="F35">
        <v>320</v>
      </c>
      <c r="G35">
        <v>0</v>
      </c>
      <c r="H35" s="4" t="str">
        <f>INDEX(Customers!C:C, MATCH(C35, Customers!A:A, 0))</f>
        <v>East</v>
      </c>
      <c r="I35" s="5" t="str">
        <f>INDEX(Customers!D:D, MATCH(C35, Customers!A:A, 0))</f>
        <v>Consumer</v>
      </c>
    </row>
    <row r="36" spans="1:9" x14ac:dyDescent="0.3">
      <c r="A36" t="s">
        <v>64</v>
      </c>
      <c r="B36" s="1">
        <v>45864</v>
      </c>
      <c r="C36" t="s">
        <v>39</v>
      </c>
      <c r="D36" t="s">
        <v>12</v>
      </c>
      <c r="E36">
        <v>390</v>
      </c>
      <c r="F36">
        <v>78</v>
      </c>
      <c r="G36">
        <v>0.1</v>
      </c>
      <c r="H36" s="4" t="str">
        <f>INDEX(Customers!C:C, MATCH(C36, Customers!A:A, 0))</f>
        <v>North</v>
      </c>
      <c r="I36" s="5" t="str">
        <f>INDEX(Customers!D:D, MATCH(C36, Customers!A:A, 0))</f>
        <v>Consumer</v>
      </c>
    </row>
    <row r="37" spans="1:9" x14ac:dyDescent="0.3">
      <c r="A37" t="s">
        <v>65</v>
      </c>
      <c r="B37" s="1">
        <v>45870</v>
      </c>
      <c r="C37" t="s">
        <v>41</v>
      </c>
      <c r="D37" t="s">
        <v>9</v>
      </c>
      <c r="E37">
        <v>520</v>
      </c>
      <c r="F37">
        <v>-104</v>
      </c>
      <c r="G37">
        <v>0.3</v>
      </c>
      <c r="H37" s="4" t="str">
        <f>INDEX(Customers!C:C, MATCH(C37, Customers!A:A, 0))</f>
        <v>South</v>
      </c>
      <c r="I37" s="5" t="str">
        <f>INDEX(Customers!D:D, MATCH(C37, Customers!A:A, 0))</f>
        <v>Consumer</v>
      </c>
    </row>
    <row r="38" spans="1:9" x14ac:dyDescent="0.3">
      <c r="A38" t="s">
        <v>66</v>
      </c>
      <c r="B38" s="1">
        <v>45876</v>
      </c>
      <c r="C38" t="s">
        <v>43</v>
      </c>
      <c r="D38" t="s">
        <v>15</v>
      </c>
      <c r="E38">
        <v>980</v>
      </c>
      <c r="F38">
        <v>147</v>
      </c>
      <c r="G38">
        <v>0.05</v>
      </c>
      <c r="H38" s="4" t="str">
        <f>INDEX(Customers!C:C, MATCH(C38, Customers!A:A, 0))</f>
        <v>West</v>
      </c>
      <c r="I38" s="5" t="str">
        <f>INDEX(Customers!D:D, MATCH(C38, Customers!A:A, 0))</f>
        <v>Corporate</v>
      </c>
    </row>
    <row r="39" spans="1:9" x14ac:dyDescent="0.3">
      <c r="A39" t="s">
        <v>67</v>
      </c>
      <c r="B39" s="1">
        <v>45882</v>
      </c>
      <c r="C39" t="s">
        <v>45</v>
      </c>
      <c r="D39" t="s">
        <v>12</v>
      </c>
      <c r="E39">
        <v>175</v>
      </c>
      <c r="F39">
        <v>43.75</v>
      </c>
      <c r="G39">
        <v>0</v>
      </c>
      <c r="H39" s="4" t="str">
        <f>INDEX(Customers!C:C, MATCH(C39, Customers!A:A, 0))</f>
        <v>East</v>
      </c>
      <c r="I39" s="5" t="str">
        <f>INDEX(Customers!D:D, MATCH(C39, Customers!A:A, 0))</f>
        <v>Corporate</v>
      </c>
    </row>
    <row r="40" spans="1:9" x14ac:dyDescent="0.3">
      <c r="A40" t="s">
        <v>68</v>
      </c>
      <c r="B40" s="1">
        <v>45888</v>
      </c>
      <c r="C40" t="s">
        <v>47</v>
      </c>
      <c r="D40" t="s">
        <v>9</v>
      </c>
      <c r="E40">
        <v>1300</v>
      </c>
      <c r="F40">
        <v>325</v>
      </c>
      <c r="G40">
        <v>0.05</v>
      </c>
      <c r="H40" s="4" t="str">
        <f>INDEX(Customers!C:C, MATCH(C40, Customers!A:A, 0))</f>
        <v>North</v>
      </c>
      <c r="I40" s="5" t="str">
        <f>INDEX(Customers!D:D, MATCH(C40, Customers!A:A, 0))</f>
        <v>Corporate</v>
      </c>
    </row>
    <row r="41" spans="1:9" x14ac:dyDescent="0.3">
      <c r="A41" t="s">
        <v>69</v>
      </c>
      <c r="B41" s="1">
        <v>45894</v>
      </c>
      <c r="C41" t="s">
        <v>49</v>
      </c>
      <c r="D41" t="s">
        <v>15</v>
      </c>
      <c r="E41">
        <v>450</v>
      </c>
      <c r="F41">
        <v>-90</v>
      </c>
      <c r="G41">
        <v>0.4</v>
      </c>
      <c r="H41" s="4" t="str">
        <f>INDEX(Customers!C:C, MATCH(C41, Customers!A:A, 0))</f>
        <v>South</v>
      </c>
      <c r="I41" s="5" t="str">
        <f>INDEX(Customers!D:D, MATCH(C41, Customers!A:A, 0))</f>
        <v>Corporate</v>
      </c>
    </row>
    <row r="42" spans="1:9" x14ac:dyDescent="0.3">
      <c r="A42" t="s">
        <v>70</v>
      </c>
      <c r="B42" s="1">
        <v>45903</v>
      </c>
      <c r="C42" t="s">
        <v>8</v>
      </c>
      <c r="D42" t="s">
        <v>9</v>
      </c>
      <c r="E42">
        <v>1650</v>
      </c>
      <c r="F42">
        <v>412.5</v>
      </c>
      <c r="G42">
        <v>0</v>
      </c>
      <c r="H42" s="4" t="str">
        <f>INDEX(Customers!C:C, MATCH(C42, Customers!A:A, 0))</f>
        <v>West</v>
      </c>
      <c r="I42" s="5" t="str">
        <f>INDEX(Customers!D:D, MATCH(C42, Customers!A:A, 0))</f>
        <v>Consumer</v>
      </c>
    </row>
    <row r="43" spans="1:9" x14ac:dyDescent="0.3">
      <c r="A43" t="s">
        <v>71</v>
      </c>
      <c r="B43" s="1">
        <v>45909</v>
      </c>
      <c r="C43" t="s">
        <v>11</v>
      </c>
      <c r="D43" t="s">
        <v>12</v>
      </c>
      <c r="E43">
        <v>280</v>
      </c>
      <c r="F43">
        <v>56</v>
      </c>
      <c r="G43">
        <v>0.1</v>
      </c>
      <c r="H43" s="4" t="str">
        <f>INDEX(Customers!C:C, MATCH(C43, Customers!A:A, 0))</f>
        <v>East</v>
      </c>
      <c r="I43" s="5" t="str">
        <f>INDEX(Customers!D:D, MATCH(C43, Customers!A:A, 0))</f>
        <v>Consumer</v>
      </c>
    </row>
    <row r="44" spans="1:9" x14ac:dyDescent="0.3">
      <c r="A44" t="s">
        <v>72</v>
      </c>
      <c r="B44" s="1">
        <v>45915</v>
      </c>
      <c r="C44" t="s">
        <v>14</v>
      </c>
      <c r="D44" t="s">
        <v>15</v>
      </c>
      <c r="E44">
        <v>720</v>
      </c>
      <c r="F44">
        <v>72</v>
      </c>
      <c r="G44">
        <v>0.1</v>
      </c>
      <c r="H44" s="4" t="str">
        <f>INDEX(Customers!C:C, MATCH(C44, Customers!A:A, 0))</f>
        <v>North</v>
      </c>
      <c r="I44" s="5" t="str">
        <f>INDEX(Customers!D:D, MATCH(C44, Customers!A:A, 0))</f>
        <v>Consumer</v>
      </c>
    </row>
    <row r="45" spans="1:9" x14ac:dyDescent="0.3">
      <c r="A45" t="s">
        <v>73</v>
      </c>
      <c r="B45" s="1">
        <v>45921</v>
      </c>
      <c r="C45" t="s">
        <v>17</v>
      </c>
      <c r="D45" t="s">
        <v>9</v>
      </c>
      <c r="E45">
        <v>390</v>
      </c>
      <c r="F45">
        <v>-58.5</v>
      </c>
      <c r="G45">
        <v>0.3</v>
      </c>
      <c r="H45" s="4" t="str">
        <f>INDEX(Customers!C:C, MATCH(C45, Customers!A:A, 0))</f>
        <v>South</v>
      </c>
      <c r="I45" s="5" t="str">
        <f>INDEX(Customers!D:D, MATCH(C45, Customers!A:A, 0))</f>
        <v>Consumer</v>
      </c>
    </row>
    <row r="46" spans="1:9" x14ac:dyDescent="0.3">
      <c r="A46" t="s">
        <v>74</v>
      </c>
      <c r="B46" s="1">
        <v>45927</v>
      </c>
      <c r="C46" t="s">
        <v>19</v>
      </c>
      <c r="D46" t="s">
        <v>12</v>
      </c>
      <c r="E46">
        <v>155</v>
      </c>
      <c r="F46">
        <v>38.75</v>
      </c>
      <c r="G46">
        <v>0</v>
      </c>
      <c r="H46" s="4" t="str">
        <f>INDEX(Customers!C:C, MATCH(C46, Customers!A:A, 0))</f>
        <v>West</v>
      </c>
      <c r="I46" s="5" t="str">
        <f>INDEX(Customers!D:D, MATCH(C46, Customers!A:A, 0))</f>
        <v>Corporate</v>
      </c>
    </row>
    <row r="47" spans="1:9" x14ac:dyDescent="0.3">
      <c r="A47" t="s">
        <v>75</v>
      </c>
      <c r="B47" s="1">
        <v>45934</v>
      </c>
      <c r="C47" t="s">
        <v>21</v>
      </c>
      <c r="D47" t="s">
        <v>15</v>
      </c>
      <c r="E47">
        <v>1150</v>
      </c>
      <c r="F47">
        <v>230</v>
      </c>
      <c r="G47">
        <v>0</v>
      </c>
      <c r="H47" s="4" t="str">
        <f>INDEX(Customers!C:C, MATCH(C47, Customers!A:A, 0))</f>
        <v>East</v>
      </c>
      <c r="I47" s="5" t="str">
        <f>INDEX(Customers!D:D, MATCH(C47, Customers!A:A, 0))</f>
        <v>Corporate</v>
      </c>
    </row>
    <row r="48" spans="1:9" x14ac:dyDescent="0.3">
      <c r="A48" t="s">
        <v>76</v>
      </c>
      <c r="B48" s="1">
        <v>45940</v>
      </c>
      <c r="C48" t="s">
        <v>23</v>
      </c>
      <c r="D48" t="s">
        <v>9</v>
      </c>
      <c r="E48">
        <v>880</v>
      </c>
      <c r="F48">
        <v>176</v>
      </c>
      <c r="G48">
        <v>0.1</v>
      </c>
      <c r="H48" s="4" t="str">
        <f>INDEX(Customers!C:C, MATCH(C48, Customers!A:A, 0))</f>
        <v>North</v>
      </c>
      <c r="I48" s="5" t="str">
        <f>INDEX(Customers!D:D, MATCH(C48, Customers!A:A, 0))</f>
        <v>Corporate</v>
      </c>
    </row>
    <row r="49" spans="1:9" x14ac:dyDescent="0.3">
      <c r="A49" t="s">
        <v>77</v>
      </c>
      <c r="B49" s="1">
        <v>45946</v>
      </c>
      <c r="C49" t="s">
        <v>25</v>
      </c>
      <c r="D49" t="s">
        <v>12</v>
      </c>
      <c r="E49">
        <v>410</v>
      </c>
      <c r="F49">
        <v>-82</v>
      </c>
      <c r="G49">
        <v>0.35</v>
      </c>
      <c r="H49" s="4" t="str">
        <f>INDEX(Customers!C:C, MATCH(C49, Customers!A:A, 0))</f>
        <v>South</v>
      </c>
      <c r="I49" s="5" t="str">
        <f>INDEX(Customers!D:D, MATCH(C49, Customers!A:A, 0))</f>
        <v>Corporate</v>
      </c>
    </row>
    <row r="50" spans="1:9" x14ac:dyDescent="0.3">
      <c r="A50" t="s">
        <v>78</v>
      </c>
      <c r="B50" s="1">
        <v>45952</v>
      </c>
      <c r="C50" t="s">
        <v>27</v>
      </c>
      <c r="D50" t="s">
        <v>15</v>
      </c>
      <c r="E50">
        <v>630</v>
      </c>
      <c r="F50">
        <v>94.5</v>
      </c>
      <c r="G50">
        <v>0.05</v>
      </c>
      <c r="H50" s="4" t="str">
        <f>INDEX(Customers!C:C, MATCH(C50, Customers!A:A, 0))</f>
        <v>West</v>
      </c>
      <c r="I50" s="5" t="str">
        <f>INDEX(Customers!D:D, MATCH(C50, Customers!A:A, 0))</f>
        <v>Home Office</v>
      </c>
    </row>
    <row r="51" spans="1:9" x14ac:dyDescent="0.3">
      <c r="A51" t="s">
        <v>79</v>
      </c>
      <c r="B51" s="1">
        <v>45958</v>
      </c>
      <c r="C51" t="s">
        <v>29</v>
      </c>
      <c r="D51" t="s">
        <v>9</v>
      </c>
      <c r="E51">
        <v>1450</v>
      </c>
      <c r="F51">
        <v>362.5</v>
      </c>
      <c r="G51">
        <v>0</v>
      </c>
      <c r="H51" s="4" t="str">
        <f>INDEX(Customers!C:C, MATCH(C51, Customers!A:A, 0))</f>
        <v>East</v>
      </c>
      <c r="I51" s="5" t="str">
        <f>INDEX(Customers!D:D, MATCH(C51, Customers!A:A, 0))</f>
        <v>Home Office</v>
      </c>
    </row>
    <row r="52" spans="1:9" x14ac:dyDescent="0.3">
      <c r="A52" t="s">
        <v>80</v>
      </c>
      <c r="B52" s="1">
        <v>45963</v>
      </c>
      <c r="C52" t="s">
        <v>31</v>
      </c>
      <c r="D52" t="s">
        <v>12</v>
      </c>
      <c r="E52">
        <v>230</v>
      </c>
      <c r="F52">
        <v>46</v>
      </c>
      <c r="G52">
        <v>0.1</v>
      </c>
      <c r="H52" s="4" t="str">
        <f>INDEX(Customers!C:C, MATCH(C52, Customers!A:A, 0))</f>
        <v>North</v>
      </c>
      <c r="I52" s="5" t="str">
        <f>INDEX(Customers!D:D, MATCH(C52, Customers!A:A, 0))</f>
        <v>Home Office</v>
      </c>
    </row>
    <row r="53" spans="1:9" x14ac:dyDescent="0.3">
      <c r="A53" t="s">
        <v>81</v>
      </c>
      <c r="B53" s="1">
        <v>45969</v>
      </c>
      <c r="C53" t="s">
        <v>33</v>
      </c>
      <c r="D53" t="s">
        <v>15</v>
      </c>
      <c r="E53">
        <v>550</v>
      </c>
      <c r="F53">
        <v>-82.5</v>
      </c>
      <c r="G53">
        <v>0.3</v>
      </c>
      <c r="H53" s="4" t="str">
        <f>INDEX(Customers!C:C, MATCH(C53, Customers!A:A, 0))</f>
        <v>South</v>
      </c>
      <c r="I53" s="5" t="str">
        <f>INDEX(Customers!D:D, MATCH(C53, Customers!A:A, 0))</f>
        <v>Home Office</v>
      </c>
    </row>
    <row r="54" spans="1:9" x14ac:dyDescent="0.3">
      <c r="A54" t="s">
        <v>82</v>
      </c>
      <c r="B54" s="1">
        <v>45975</v>
      </c>
      <c r="C54" t="s">
        <v>35</v>
      </c>
      <c r="D54" t="s">
        <v>9</v>
      </c>
      <c r="E54">
        <v>1900</v>
      </c>
      <c r="F54">
        <v>475</v>
      </c>
      <c r="G54">
        <v>0.05</v>
      </c>
      <c r="H54" s="4" t="str">
        <f>INDEX(Customers!C:C, MATCH(C54, Customers!A:A, 0))</f>
        <v>West</v>
      </c>
      <c r="I54" s="5" t="str">
        <f>INDEX(Customers!D:D, MATCH(C54, Customers!A:A, 0))</f>
        <v>Consumer</v>
      </c>
    </row>
    <row r="55" spans="1:9" x14ac:dyDescent="0.3">
      <c r="A55" t="s">
        <v>83</v>
      </c>
      <c r="B55" s="1">
        <v>45981</v>
      </c>
      <c r="C55" t="s">
        <v>37</v>
      </c>
      <c r="D55" t="s">
        <v>12</v>
      </c>
      <c r="E55">
        <v>310</v>
      </c>
      <c r="F55">
        <v>62</v>
      </c>
      <c r="G55">
        <v>0.1</v>
      </c>
      <c r="H55" s="4" t="str">
        <f>INDEX(Customers!C:C, MATCH(C55, Customers!A:A, 0))</f>
        <v>East</v>
      </c>
      <c r="I55" s="5" t="str">
        <f>INDEX(Customers!D:D, MATCH(C55, Customers!A:A, 0))</f>
        <v>Consumer</v>
      </c>
    </row>
    <row r="56" spans="1:9" x14ac:dyDescent="0.3">
      <c r="A56" t="s">
        <v>84</v>
      </c>
      <c r="B56" s="1">
        <v>45987</v>
      </c>
      <c r="C56" t="s">
        <v>39</v>
      </c>
      <c r="D56" t="s">
        <v>15</v>
      </c>
      <c r="E56">
        <v>840</v>
      </c>
      <c r="F56">
        <v>126</v>
      </c>
      <c r="G56">
        <v>0.05</v>
      </c>
      <c r="H56" s="4" t="str">
        <f>INDEX(Customers!C:C, MATCH(C56, Customers!A:A, 0))</f>
        <v>North</v>
      </c>
      <c r="I56" s="5" t="str">
        <f>INDEX(Customers!D:D, MATCH(C56, Customers!A:A, 0))</f>
        <v>Consumer</v>
      </c>
    </row>
    <row r="57" spans="1:9" x14ac:dyDescent="0.3">
      <c r="A57" t="s">
        <v>85</v>
      </c>
      <c r="B57" s="1">
        <v>45993</v>
      </c>
      <c r="C57" t="s">
        <v>41</v>
      </c>
      <c r="D57" t="s">
        <v>9</v>
      </c>
      <c r="E57">
        <v>610</v>
      </c>
      <c r="F57">
        <v>-122</v>
      </c>
      <c r="G57">
        <v>0.4</v>
      </c>
      <c r="H57" s="4" t="str">
        <f>INDEX(Customers!C:C, MATCH(C57, Customers!A:A, 0))</f>
        <v>South</v>
      </c>
      <c r="I57" s="5" t="str">
        <f>INDEX(Customers!D:D, MATCH(C57, Customers!A:A, 0))</f>
        <v>Consumer</v>
      </c>
    </row>
    <row r="58" spans="1:9" x14ac:dyDescent="0.3">
      <c r="A58" t="s">
        <v>86</v>
      </c>
      <c r="B58" s="1">
        <v>45999</v>
      </c>
      <c r="C58" t="s">
        <v>43</v>
      </c>
      <c r="D58" t="s">
        <v>12</v>
      </c>
      <c r="E58">
        <v>125</v>
      </c>
      <c r="F58">
        <v>31.25</v>
      </c>
      <c r="G58">
        <v>0</v>
      </c>
      <c r="H58" s="4" t="str">
        <f>INDEX(Customers!C:C, MATCH(C58, Customers!A:A, 0))</f>
        <v>West</v>
      </c>
      <c r="I58" s="5" t="str">
        <f>INDEX(Customers!D:D, MATCH(C58, Customers!A:A, 0))</f>
        <v>Corporate</v>
      </c>
    </row>
    <row r="59" spans="1:9" x14ac:dyDescent="0.3">
      <c r="A59" t="s">
        <v>87</v>
      </c>
      <c r="B59" s="1">
        <v>46005</v>
      </c>
      <c r="C59" t="s">
        <v>45</v>
      </c>
      <c r="D59" t="s">
        <v>9</v>
      </c>
      <c r="E59">
        <v>1750</v>
      </c>
      <c r="F59">
        <v>437.5</v>
      </c>
      <c r="G59">
        <v>0</v>
      </c>
      <c r="H59" s="4" t="str">
        <f>INDEX(Customers!C:C, MATCH(C59, Customers!A:A, 0))</f>
        <v>East</v>
      </c>
      <c r="I59" s="5" t="str">
        <f>INDEX(Customers!D:D, MATCH(C59, Customers!A:A, 0))</f>
        <v>Corporate</v>
      </c>
    </row>
    <row r="60" spans="1:9" x14ac:dyDescent="0.3">
      <c r="A60" t="s">
        <v>88</v>
      </c>
      <c r="B60" s="1">
        <v>46011</v>
      </c>
      <c r="C60" t="s">
        <v>47</v>
      </c>
      <c r="D60" t="s">
        <v>15</v>
      </c>
      <c r="E60">
        <v>910</v>
      </c>
      <c r="F60">
        <v>136.5</v>
      </c>
      <c r="G60">
        <v>0.05</v>
      </c>
      <c r="H60" s="4" t="str">
        <f>INDEX(Customers!C:C, MATCH(C60, Customers!A:A, 0))</f>
        <v>North</v>
      </c>
      <c r="I60" s="5" t="str">
        <f>INDEX(Customers!D:D, MATCH(C60, Customers!A:A, 0))</f>
        <v>Corporate</v>
      </c>
    </row>
    <row r="61" spans="1:9" x14ac:dyDescent="0.3">
      <c r="A61" t="s">
        <v>89</v>
      </c>
      <c r="B61" s="1">
        <v>46017</v>
      </c>
      <c r="C61" t="s">
        <v>49</v>
      </c>
      <c r="D61" t="s">
        <v>12</v>
      </c>
      <c r="E61">
        <v>340</v>
      </c>
      <c r="F61">
        <v>-68</v>
      </c>
      <c r="G61">
        <v>0.35</v>
      </c>
      <c r="H61" s="4" t="str">
        <f>INDEX(Customers!C:C, MATCH(C61, Customers!A:A, 0))</f>
        <v>South</v>
      </c>
      <c r="I61" s="5" t="str">
        <f>INDEX(Customers!D:D, MATCH(C61, Customers!A:A, 0))</f>
        <v>Corporate</v>
      </c>
    </row>
    <row r="62" spans="1:9" x14ac:dyDescent="0.3">
      <c r="A62" t="s">
        <v>90</v>
      </c>
      <c r="B62" s="1">
        <v>46026</v>
      </c>
      <c r="C62" t="s">
        <v>8</v>
      </c>
      <c r="D62" t="s">
        <v>9</v>
      </c>
      <c r="E62">
        <v>1350</v>
      </c>
      <c r="F62">
        <v>337.5</v>
      </c>
      <c r="G62">
        <v>0</v>
      </c>
      <c r="H62" s="4" t="str">
        <f>INDEX(Customers!C:C, MATCH(C62, Customers!A:A, 0))</f>
        <v>West</v>
      </c>
      <c r="I62" s="5" t="str">
        <f>INDEX(Customers!D:D, MATCH(C62, Customers!A:A, 0))</f>
        <v>Consumer</v>
      </c>
    </row>
    <row r="63" spans="1:9" x14ac:dyDescent="0.3">
      <c r="A63" t="s">
        <v>91</v>
      </c>
      <c r="B63" s="1">
        <v>46032</v>
      </c>
      <c r="C63" t="s">
        <v>11</v>
      </c>
      <c r="D63" t="s">
        <v>15</v>
      </c>
      <c r="E63">
        <v>820</v>
      </c>
      <c r="F63">
        <v>123</v>
      </c>
      <c r="G63">
        <v>0.05</v>
      </c>
      <c r="H63" s="4" t="str">
        <f>INDEX(Customers!C:C, MATCH(C63, Customers!A:A, 0))</f>
        <v>East</v>
      </c>
      <c r="I63" s="5" t="str">
        <f>INDEX(Customers!D:D, MATCH(C63, Customers!A:A, 0))</f>
        <v>Consumer</v>
      </c>
    </row>
    <row r="64" spans="1:9" x14ac:dyDescent="0.3">
      <c r="A64" t="s">
        <v>92</v>
      </c>
      <c r="B64" s="1">
        <v>46038</v>
      </c>
      <c r="C64" t="s">
        <v>14</v>
      </c>
      <c r="D64" t="s">
        <v>12</v>
      </c>
      <c r="E64">
        <v>190</v>
      </c>
      <c r="F64">
        <v>38</v>
      </c>
      <c r="G64">
        <v>0.1</v>
      </c>
      <c r="H64" s="4" t="str">
        <f>INDEX(Customers!C:C, MATCH(C64, Customers!A:A, 0))</f>
        <v>North</v>
      </c>
      <c r="I64" s="5" t="str">
        <f>INDEX(Customers!D:D, MATCH(C64, Customers!A:A, 0))</f>
        <v>Consumer</v>
      </c>
    </row>
    <row r="65" spans="1:9" x14ac:dyDescent="0.3">
      <c r="A65" t="s">
        <v>93</v>
      </c>
      <c r="B65" s="1">
        <v>46044</v>
      </c>
      <c r="C65" t="s">
        <v>17</v>
      </c>
      <c r="D65" t="s">
        <v>9</v>
      </c>
      <c r="E65">
        <v>480</v>
      </c>
      <c r="F65">
        <v>-72</v>
      </c>
      <c r="G65">
        <v>0.3</v>
      </c>
      <c r="H65" s="4" t="str">
        <f>INDEX(Customers!C:C, MATCH(C65, Customers!A:A, 0))</f>
        <v>South</v>
      </c>
      <c r="I65" s="5" t="str">
        <f>INDEX(Customers!D:D, MATCH(C65, Customers!A:A, 0))</f>
        <v>Consumer</v>
      </c>
    </row>
    <row r="66" spans="1:9" x14ac:dyDescent="0.3">
      <c r="A66" t="s">
        <v>94</v>
      </c>
      <c r="B66" s="1">
        <v>46050</v>
      </c>
      <c r="C66" t="s">
        <v>19</v>
      </c>
      <c r="D66" t="s">
        <v>15</v>
      </c>
      <c r="E66">
        <v>1050</v>
      </c>
      <c r="F66">
        <v>210</v>
      </c>
      <c r="G66">
        <v>0</v>
      </c>
      <c r="H66" s="4" t="str">
        <f>INDEX(Customers!C:C, MATCH(C66, Customers!A:A, 0))</f>
        <v>West</v>
      </c>
      <c r="I66" s="5" t="str">
        <f>INDEX(Customers!D:D, MATCH(C66, Customers!A:A, 0))</f>
        <v>Corporate</v>
      </c>
    </row>
    <row r="67" spans="1:9" x14ac:dyDescent="0.3">
      <c r="A67" t="s">
        <v>95</v>
      </c>
      <c r="B67" s="1">
        <v>46056</v>
      </c>
      <c r="C67" t="s">
        <v>21</v>
      </c>
      <c r="D67" t="s">
        <v>9</v>
      </c>
      <c r="E67">
        <v>1550</v>
      </c>
      <c r="F67">
        <v>387.5</v>
      </c>
      <c r="G67">
        <v>0.05</v>
      </c>
      <c r="H67" s="4" t="str">
        <f>INDEX(Customers!C:C, MATCH(C67, Customers!A:A, 0))</f>
        <v>East</v>
      </c>
      <c r="I67" s="5" t="str">
        <f>INDEX(Customers!D:D, MATCH(C67, Customers!A:A, 0))</f>
        <v>Corporate</v>
      </c>
    </row>
    <row r="68" spans="1:9" x14ac:dyDescent="0.3">
      <c r="A68" t="s">
        <v>96</v>
      </c>
      <c r="B68" s="1">
        <v>46062</v>
      </c>
      <c r="C68" t="s">
        <v>23</v>
      </c>
      <c r="D68" t="s">
        <v>12</v>
      </c>
      <c r="E68">
        <v>270</v>
      </c>
      <c r="F68">
        <v>54</v>
      </c>
      <c r="G68">
        <v>0.1</v>
      </c>
      <c r="H68" s="4" t="str">
        <f>INDEX(Customers!C:C, MATCH(C68, Customers!A:A, 0))</f>
        <v>North</v>
      </c>
      <c r="I68" s="5" t="str">
        <f>INDEX(Customers!D:D, MATCH(C68, Customers!A:A, 0))</f>
        <v>Corporate</v>
      </c>
    </row>
    <row r="69" spans="1:9" x14ac:dyDescent="0.3">
      <c r="A69" t="s">
        <v>97</v>
      </c>
      <c r="B69" s="1">
        <v>46068</v>
      </c>
      <c r="C69" t="s">
        <v>25</v>
      </c>
      <c r="D69" t="s">
        <v>15</v>
      </c>
      <c r="E69">
        <v>590</v>
      </c>
      <c r="F69">
        <v>-88.5</v>
      </c>
      <c r="G69">
        <v>0.3</v>
      </c>
      <c r="H69" s="4" t="str">
        <f>INDEX(Customers!C:C, MATCH(C69, Customers!A:A, 0))</f>
        <v>South</v>
      </c>
      <c r="I69" s="5" t="str">
        <f>INDEX(Customers!D:D, MATCH(C69, Customers!A:A, 0))</f>
        <v>Corporate</v>
      </c>
    </row>
    <row r="70" spans="1:9" x14ac:dyDescent="0.3">
      <c r="A70" t="s">
        <v>98</v>
      </c>
      <c r="B70" s="1">
        <v>46074</v>
      </c>
      <c r="C70" t="s">
        <v>27</v>
      </c>
      <c r="D70" t="s">
        <v>9</v>
      </c>
      <c r="E70">
        <v>920</v>
      </c>
      <c r="F70">
        <v>184</v>
      </c>
      <c r="G70">
        <v>0.1</v>
      </c>
      <c r="H70" s="4" t="str">
        <f>INDEX(Customers!C:C, MATCH(C70, Customers!A:A, 0))</f>
        <v>West</v>
      </c>
      <c r="I70" s="5" t="str">
        <f>INDEX(Customers!D:D, MATCH(C70, Customers!A:A, 0))</f>
        <v>Home Office</v>
      </c>
    </row>
    <row r="71" spans="1:9" x14ac:dyDescent="0.3">
      <c r="A71" t="s">
        <v>99</v>
      </c>
      <c r="B71" s="1">
        <v>46080</v>
      </c>
      <c r="C71" t="s">
        <v>29</v>
      </c>
      <c r="D71" t="s">
        <v>12</v>
      </c>
      <c r="E71">
        <v>160</v>
      </c>
      <c r="F71">
        <v>40</v>
      </c>
      <c r="G71">
        <v>0</v>
      </c>
      <c r="H71" s="4" t="str">
        <f>INDEX(Customers!C:C, MATCH(C71, Customers!A:A, 0))</f>
        <v>East</v>
      </c>
      <c r="I71" s="5" t="str">
        <f>INDEX(Customers!D:D, MATCH(C71, Customers!A:A, 0))</f>
        <v>Home Office</v>
      </c>
    </row>
    <row r="72" spans="1:9" x14ac:dyDescent="0.3">
      <c r="A72" t="s">
        <v>100</v>
      </c>
      <c r="B72" s="1">
        <v>46086</v>
      </c>
      <c r="C72" t="s">
        <v>31</v>
      </c>
      <c r="D72" t="s">
        <v>9</v>
      </c>
      <c r="E72">
        <v>1850</v>
      </c>
      <c r="F72">
        <v>462.5</v>
      </c>
      <c r="G72">
        <v>0</v>
      </c>
      <c r="H72" s="4" t="str">
        <f>INDEX(Customers!C:C, MATCH(C72, Customers!A:A, 0))</f>
        <v>North</v>
      </c>
      <c r="I72" s="5" t="str">
        <f>INDEX(Customers!D:D, MATCH(C72, Customers!A:A, 0))</f>
        <v>Home Office</v>
      </c>
    </row>
    <row r="73" spans="1:9" x14ac:dyDescent="0.3">
      <c r="A73" t="s">
        <v>101</v>
      </c>
      <c r="B73" s="1">
        <v>46092</v>
      </c>
      <c r="C73" t="s">
        <v>33</v>
      </c>
      <c r="D73" t="s">
        <v>15</v>
      </c>
      <c r="E73">
        <v>470</v>
      </c>
      <c r="F73">
        <v>-94</v>
      </c>
      <c r="G73">
        <v>0.4</v>
      </c>
      <c r="H73" s="4" t="str">
        <f>INDEX(Customers!C:C, MATCH(C73, Customers!A:A, 0))</f>
        <v>South</v>
      </c>
      <c r="I73" s="5" t="str">
        <f>INDEX(Customers!D:D, MATCH(C73, Customers!A:A, 0))</f>
        <v>Home Office</v>
      </c>
    </row>
    <row r="74" spans="1:9" x14ac:dyDescent="0.3">
      <c r="A74" t="s">
        <v>102</v>
      </c>
      <c r="B74" s="1">
        <v>46098</v>
      </c>
      <c r="C74" t="s">
        <v>35</v>
      </c>
      <c r="D74" t="s">
        <v>12</v>
      </c>
      <c r="E74">
        <v>330</v>
      </c>
      <c r="F74">
        <v>66</v>
      </c>
      <c r="G74">
        <v>0.1</v>
      </c>
      <c r="H74" s="4" t="str">
        <f>INDEX(Customers!C:C, MATCH(C74, Customers!A:A, 0))</f>
        <v>West</v>
      </c>
      <c r="I74" s="5" t="str">
        <f>INDEX(Customers!D:D, MATCH(C74, Customers!A:A, 0))</f>
        <v>Consumer</v>
      </c>
    </row>
    <row r="75" spans="1:9" x14ac:dyDescent="0.3">
      <c r="A75" t="s">
        <v>103</v>
      </c>
      <c r="B75" s="1">
        <v>46104</v>
      </c>
      <c r="C75" t="s">
        <v>37</v>
      </c>
      <c r="D75" t="s">
        <v>9</v>
      </c>
      <c r="E75">
        <v>1100</v>
      </c>
      <c r="F75">
        <v>220</v>
      </c>
      <c r="G75">
        <v>0.1</v>
      </c>
      <c r="H75" s="4" t="str">
        <f>INDEX(Customers!C:C, MATCH(C75, Customers!A:A, 0))</f>
        <v>East</v>
      </c>
      <c r="I75" s="5" t="str">
        <f>INDEX(Customers!D:D, MATCH(C75, Customers!A:A, 0))</f>
        <v>Consumer</v>
      </c>
    </row>
    <row r="76" spans="1:9" x14ac:dyDescent="0.3">
      <c r="A76" t="s">
        <v>104</v>
      </c>
      <c r="B76" s="1">
        <v>46110</v>
      </c>
      <c r="C76" t="s">
        <v>39</v>
      </c>
      <c r="D76" t="s">
        <v>15</v>
      </c>
      <c r="E76">
        <v>780</v>
      </c>
      <c r="F76">
        <v>117</v>
      </c>
      <c r="G76">
        <v>0.05</v>
      </c>
      <c r="H76" s="4" t="str">
        <f>INDEX(Customers!C:C, MATCH(C76, Customers!A:A, 0))</f>
        <v>North</v>
      </c>
      <c r="I76" s="5" t="str">
        <f>INDEX(Customers!D:D, MATCH(C76, Customers!A:A, 0))</f>
        <v>Consumer</v>
      </c>
    </row>
    <row r="77" spans="1:9" x14ac:dyDescent="0.3">
      <c r="A77" t="s">
        <v>105</v>
      </c>
      <c r="B77" s="1">
        <v>46116</v>
      </c>
      <c r="C77" t="s">
        <v>41</v>
      </c>
      <c r="D77" t="s">
        <v>12</v>
      </c>
      <c r="E77">
        <v>220</v>
      </c>
      <c r="F77">
        <v>-44</v>
      </c>
      <c r="G77">
        <v>0.35</v>
      </c>
      <c r="H77" s="4" t="str">
        <f>INDEX(Customers!C:C, MATCH(C77, Customers!A:A, 0))</f>
        <v>South</v>
      </c>
      <c r="I77" s="5" t="str">
        <f>INDEX(Customers!D:D, MATCH(C77, Customers!A:A, 0))</f>
        <v>Consumer</v>
      </c>
    </row>
    <row r="78" spans="1:9" x14ac:dyDescent="0.3">
      <c r="A78" t="s">
        <v>106</v>
      </c>
      <c r="B78" s="1">
        <v>46122</v>
      </c>
      <c r="C78" t="s">
        <v>43</v>
      </c>
      <c r="D78" t="s">
        <v>9</v>
      </c>
      <c r="E78">
        <v>1400</v>
      </c>
      <c r="F78">
        <v>350</v>
      </c>
      <c r="G78">
        <v>0.05</v>
      </c>
      <c r="H78" s="4" t="str">
        <f>INDEX(Customers!C:C, MATCH(C78, Customers!A:A, 0))</f>
        <v>West</v>
      </c>
      <c r="I78" s="5" t="str">
        <f>INDEX(Customers!D:D, MATCH(C78, Customers!A:A, 0))</f>
        <v>Corporate</v>
      </c>
    </row>
    <row r="79" spans="1:9" x14ac:dyDescent="0.3">
      <c r="A79" t="s">
        <v>107</v>
      </c>
      <c r="B79" s="1">
        <v>46128</v>
      </c>
      <c r="C79" t="s">
        <v>45</v>
      </c>
      <c r="D79" t="s">
        <v>15</v>
      </c>
      <c r="E79">
        <v>960</v>
      </c>
      <c r="F79">
        <v>144</v>
      </c>
      <c r="G79">
        <v>0.05</v>
      </c>
      <c r="H79" s="4" t="str">
        <f>INDEX(Customers!C:C, MATCH(C79, Customers!A:A, 0))</f>
        <v>East</v>
      </c>
      <c r="I79" s="5" t="str">
        <f>INDEX(Customers!D:D, MATCH(C79, Customers!A:A, 0))</f>
        <v>Corporate</v>
      </c>
    </row>
    <row r="80" spans="1:9" x14ac:dyDescent="0.3">
      <c r="A80" t="s">
        <v>108</v>
      </c>
      <c r="B80" s="1">
        <v>46134</v>
      </c>
      <c r="C80" t="s">
        <v>47</v>
      </c>
      <c r="D80" t="s">
        <v>12</v>
      </c>
      <c r="E80">
        <v>180</v>
      </c>
      <c r="F80">
        <v>45</v>
      </c>
      <c r="G80">
        <v>0</v>
      </c>
      <c r="H80" s="4" t="str">
        <f>INDEX(Customers!C:C, MATCH(C80, Customers!A:A, 0))</f>
        <v>North</v>
      </c>
      <c r="I80" s="5" t="str">
        <f>INDEX(Customers!D:D, MATCH(C80, Customers!A:A, 0))</f>
        <v>Corporate</v>
      </c>
    </row>
    <row r="81" spans="1:9" x14ac:dyDescent="0.3">
      <c r="A81" t="s">
        <v>109</v>
      </c>
      <c r="B81" s="1">
        <v>46140</v>
      </c>
      <c r="C81" t="s">
        <v>49</v>
      </c>
      <c r="D81" t="s">
        <v>9</v>
      </c>
      <c r="E81">
        <v>650</v>
      </c>
      <c r="F81">
        <v>-130</v>
      </c>
      <c r="G81">
        <v>0.4</v>
      </c>
      <c r="H81" s="4" t="str">
        <f>INDEX(Customers!C:C, MATCH(C81, Customers!A:A, 0))</f>
        <v>South</v>
      </c>
      <c r="I81" s="5" t="str">
        <f>INDEX(Customers!D:D, MATCH(C81, Customers!A:A, 0))</f>
        <v>Corporate</v>
      </c>
    </row>
    <row r="82" spans="1:9" x14ac:dyDescent="0.3">
      <c r="A82" t="s">
        <v>110</v>
      </c>
      <c r="B82" s="1">
        <v>46146</v>
      </c>
      <c r="C82" t="s">
        <v>8</v>
      </c>
      <c r="D82" t="s">
        <v>12</v>
      </c>
      <c r="E82">
        <v>410</v>
      </c>
      <c r="F82">
        <v>82</v>
      </c>
      <c r="G82">
        <v>0.1</v>
      </c>
      <c r="H82" s="4" t="str">
        <f>INDEX(Customers!C:C, MATCH(C82, Customers!A:A, 0))</f>
        <v>West</v>
      </c>
      <c r="I82" s="5" t="str">
        <f>INDEX(Customers!D:D, MATCH(C82, Customers!A:A, 0))</f>
        <v>Consumer</v>
      </c>
    </row>
    <row r="83" spans="1:9" x14ac:dyDescent="0.3">
      <c r="A83" t="s">
        <v>111</v>
      </c>
      <c r="B83" s="1">
        <v>46152</v>
      </c>
      <c r="C83" t="s">
        <v>11</v>
      </c>
      <c r="D83" t="s">
        <v>9</v>
      </c>
      <c r="E83">
        <v>1700</v>
      </c>
      <c r="F83">
        <v>425</v>
      </c>
      <c r="G83">
        <v>0</v>
      </c>
      <c r="H83" s="4" t="str">
        <f>INDEX(Customers!C:C, MATCH(C83, Customers!A:A, 0))</f>
        <v>East</v>
      </c>
      <c r="I83" s="5" t="str">
        <f>INDEX(Customers!D:D, MATCH(C83, Customers!A:A, 0))</f>
        <v>Consumer</v>
      </c>
    </row>
    <row r="84" spans="1:9" x14ac:dyDescent="0.3">
      <c r="A84" t="s">
        <v>112</v>
      </c>
      <c r="B84" s="1">
        <v>46158</v>
      </c>
      <c r="C84" t="s">
        <v>14</v>
      </c>
      <c r="D84" t="s">
        <v>15</v>
      </c>
      <c r="E84">
        <v>860</v>
      </c>
      <c r="F84">
        <v>129</v>
      </c>
      <c r="G84">
        <v>0.05</v>
      </c>
      <c r="H84" s="4" t="str">
        <f>INDEX(Customers!C:C, MATCH(C84, Customers!A:A, 0))</f>
        <v>North</v>
      </c>
      <c r="I84" s="5" t="str">
        <f>INDEX(Customers!D:D, MATCH(C84, Customers!A:A, 0))</f>
        <v>Consumer</v>
      </c>
    </row>
    <row r="85" spans="1:9" x14ac:dyDescent="0.3">
      <c r="A85" t="s">
        <v>113</v>
      </c>
      <c r="B85" s="1">
        <v>46164</v>
      </c>
      <c r="C85" t="s">
        <v>17</v>
      </c>
      <c r="D85" t="s">
        <v>12</v>
      </c>
      <c r="E85">
        <v>150</v>
      </c>
      <c r="F85">
        <v>-22.5</v>
      </c>
      <c r="G85">
        <v>0.3</v>
      </c>
      <c r="H85" s="4" t="str">
        <f>INDEX(Customers!C:C, MATCH(C85, Customers!A:A, 0))</f>
        <v>South</v>
      </c>
      <c r="I85" s="5" t="str">
        <f>INDEX(Customers!D:D, MATCH(C85, Customers!A:A, 0))</f>
        <v>Consumer</v>
      </c>
    </row>
    <row r="86" spans="1:9" x14ac:dyDescent="0.3">
      <c r="A86" t="s">
        <v>114</v>
      </c>
      <c r="B86" s="1">
        <v>46170</v>
      </c>
      <c r="C86" t="s">
        <v>19</v>
      </c>
      <c r="D86" t="s">
        <v>9</v>
      </c>
      <c r="E86">
        <v>1250</v>
      </c>
      <c r="F86">
        <v>250</v>
      </c>
      <c r="G86">
        <v>0.1</v>
      </c>
      <c r="H86" s="4" t="str">
        <f>INDEX(Customers!C:C, MATCH(C86, Customers!A:A, 0))</f>
        <v>West</v>
      </c>
      <c r="I86" s="5" t="str">
        <f>INDEX(Customers!D:D, MATCH(C86, Customers!A:A, 0))</f>
        <v>Corporate</v>
      </c>
    </row>
    <row r="87" spans="1:9" x14ac:dyDescent="0.3">
      <c r="A87" t="s">
        <v>115</v>
      </c>
      <c r="B87" s="1">
        <v>46176</v>
      </c>
      <c r="C87" t="s">
        <v>21</v>
      </c>
      <c r="D87" t="s">
        <v>15</v>
      </c>
      <c r="E87">
        <v>1120</v>
      </c>
      <c r="F87">
        <v>224</v>
      </c>
      <c r="G87">
        <v>0</v>
      </c>
      <c r="H87" s="4" t="str">
        <f>INDEX(Customers!C:C, MATCH(C87, Customers!A:A, 0))</f>
        <v>East</v>
      </c>
      <c r="I87" s="5" t="str">
        <f>INDEX(Customers!D:D, MATCH(C87, Customers!A:A, 0))</f>
        <v>Corporate</v>
      </c>
    </row>
    <row r="88" spans="1:9" x14ac:dyDescent="0.3">
      <c r="A88" t="s">
        <v>116</v>
      </c>
      <c r="B88" s="1">
        <v>46182</v>
      </c>
      <c r="C88" t="s">
        <v>23</v>
      </c>
      <c r="D88" t="s">
        <v>12</v>
      </c>
      <c r="E88">
        <v>290</v>
      </c>
      <c r="F88">
        <v>58</v>
      </c>
      <c r="G88">
        <v>0.1</v>
      </c>
      <c r="H88" s="4" t="str">
        <f>INDEX(Customers!C:C, MATCH(C88, Customers!A:A, 0))</f>
        <v>North</v>
      </c>
      <c r="I88" s="5" t="str">
        <f>INDEX(Customers!D:D, MATCH(C88, Customers!A:A, 0))</f>
        <v>Corporate</v>
      </c>
    </row>
    <row r="89" spans="1:9" x14ac:dyDescent="0.3">
      <c r="A89" t="s">
        <v>117</v>
      </c>
      <c r="B89" s="1">
        <v>46188</v>
      </c>
      <c r="C89" t="s">
        <v>25</v>
      </c>
      <c r="D89" t="s">
        <v>9</v>
      </c>
      <c r="E89">
        <v>580</v>
      </c>
      <c r="F89">
        <v>-116</v>
      </c>
      <c r="G89">
        <v>0.35</v>
      </c>
      <c r="H89" s="4" t="str">
        <f>INDEX(Customers!C:C, MATCH(C89, Customers!A:A, 0))</f>
        <v>South</v>
      </c>
      <c r="I89" s="5" t="str">
        <f>INDEX(Customers!D:D, MATCH(C89, Customers!A:A, 0))</f>
        <v>Corporate</v>
      </c>
    </row>
    <row r="90" spans="1:9" x14ac:dyDescent="0.3">
      <c r="A90" t="s">
        <v>118</v>
      </c>
      <c r="B90" s="1">
        <v>46194</v>
      </c>
      <c r="C90" t="s">
        <v>27</v>
      </c>
      <c r="D90" t="s">
        <v>15</v>
      </c>
      <c r="E90">
        <v>740</v>
      </c>
      <c r="F90">
        <v>111</v>
      </c>
      <c r="G90">
        <v>0.05</v>
      </c>
      <c r="H90" s="4" t="str">
        <f>INDEX(Customers!C:C, MATCH(C90, Customers!A:A, 0))</f>
        <v>West</v>
      </c>
      <c r="I90" s="5" t="str">
        <f>INDEX(Customers!D:D, MATCH(C90, Customers!A:A, 0))</f>
        <v>Home Office</v>
      </c>
    </row>
    <row r="91" spans="1:9" x14ac:dyDescent="0.3">
      <c r="A91" t="s">
        <v>119</v>
      </c>
      <c r="B91" s="1">
        <v>46200</v>
      </c>
      <c r="C91" t="s">
        <v>29</v>
      </c>
      <c r="D91" t="s">
        <v>12</v>
      </c>
      <c r="E91">
        <v>210</v>
      </c>
      <c r="F91">
        <v>52.5</v>
      </c>
      <c r="G91">
        <v>0</v>
      </c>
      <c r="H91" s="4" t="str">
        <f>INDEX(Customers!C:C, MATCH(C91, Customers!A:A, 0))</f>
        <v>East</v>
      </c>
      <c r="I91" s="5" t="str">
        <f>INDEX(Customers!D:D, MATCH(C91, Customers!A:A, 0))</f>
        <v>Home Office</v>
      </c>
    </row>
    <row r="92" spans="1:9" x14ac:dyDescent="0.3">
      <c r="A92" t="s">
        <v>120</v>
      </c>
      <c r="B92" s="1">
        <v>46205</v>
      </c>
      <c r="C92" t="s">
        <v>31</v>
      </c>
      <c r="D92" t="s">
        <v>9</v>
      </c>
      <c r="E92">
        <v>1950</v>
      </c>
      <c r="F92">
        <v>487.5</v>
      </c>
      <c r="G92">
        <v>0</v>
      </c>
      <c r="H92" s="4" t="str">
        <f>INDEX(Customers!C:C, MATCH(C92, Customers!A:A, 0))</f>
        <v>North</v>
      </c>
      <c r="I92" s="5" t="str">
        <f>INDEX(Customers!D:D, MATCH(C92, Customers!A:A, 0))</f>
        <v>Home Office</v>
      </c>
    </row>
    <row r="93" spans="1:9" x14ac:dyDescent="0.3">
      <c r="A93" t="s">
        <v>121</v>
      </c>
      <c r="B93" s="1">
        <v>46211</v>
      </c>
      <c r="C93" t="s">
        <v>33</v>
      </c>
      <c r="D93" t="s">
        <v>15</v>
      </c>
      <c r="E93">
        <v>510</v>
      </c>
      <c r="F93">
        <v>-76.5</v>
      </c>
      <c r="G93">
        <v>0.3</v>
      </c>
      <c r="H93" s="4" t="str">
        <f>INDEX(Customers!C:C, MATCH(C93, Customers!A:A, 0))</f>
        <v>South</v>
      </c>
      <c r="I93" s="5" t="str">
        <f>INDEX(Customers!D:D, MATCH(C93, Customers!A:A, 0))</f>
        <v>Home Office</v>
      </c>
    </row>
    <row r="94" spans="1:9" x14ac:dyDescent="0.3">
      <c r="A94" t="s">
        <v>122</v>
      </c>
      <c r="B94" s="1">
        <v>46217</v>
      </c>
      <c r="C94" t="s">
        <v>35</v>
      </c>
      <c r="D94" t="s">
        <v>12</v>
      </c>
      <c r="E94">
        <v>360</v>
      </c>
      <c r="F94">
        <v>72</v>
      </c>
      <c r="G94">
        <v>0.1</v>
      </c>
      <c r="H94" s="4" t="str">
        <f>INDEX(Customers!C:C, MATCH(C94, Customers!A:A, 0))</f>
        <v>West</v>
      </c>
      <c r="I94" s="5" t="str">
        <f>INDEX(Customers!D:D, MATCH(C94, Customers!A:A, 0))</f>
        <v>Consumer</v>
      </c>
    </row>
    <row r="95" spans="1:9" x14ac:dyDescent="0.3">
      <c r="A95" t="s">
        <v>123</v>
      </c>
      <c r="B95" s="1">
        <v>46223</v>
      </c>
      <c r="C95" t="s">
        <v>37</v>
      </c>
      <c r="D95" t="s">
        <v>9</v>
      </c>
      <c r="E95">
        <v>1320</v>
      </c>
      <c r="F95">
        <v>264</v>
      </c>
      <c r="G95">
        <v>0.1</v>
      </c>
      <c r="H95" s="4" t="str">
        <f>INDEX(Customers!C:C, MATCH(C95, Customers!A:A, 0))</f>
        <v>East</v>
      </c>
      <c r="I95" s="5" t="str">
        <f>INDEX(Customers!D:D, MATCH(C95, Customers!A:A, 0))</f>
        <v>Consumer</v>
      </c>
    </row>
    <row r="96" spans="1:9" x14ac:dyDescent="0.3">
      <c r="A96" t="s">
        <v>124</v>
      </c>
      <c r="B96" s="1">
        <v>46229</v>
      </c>
      <c r="C96" t="s">
        <v>39</v>
      </c>
      <c r="D96" t="s">
        <v>15</v>
      </c>
      <c r="E96">
        <v>890</v>
      </c>
      <c r="F96">
        <v>133.5</v>
      </c>
      <c r="G96">
        <v>0.05</v>
      </c>
      <c r="H96" s="4" t="str">
        <f>INDEX(Customers!C:C, MATCH(C96, Customers!A:A, 0))</f>
        <v>North</v>
      </c>
      <c r="I96" s="5" t="str">
        <f>INDEX(Customers!D:D, MATCH(C96, Customers!A:A, 0))</f>
        <v>Consumer</v>
      </c>
    </row>
    <row r="97" spans="1:9" x14ac:dyDescent="0.3">
      <c r="A97" t="s">
        <v>125</v>
      </c>
      <c r="B97" s="1">
        <v>46235</v>
      </c>
      <c r="C97" t="s">
        <v>41</v>
      </c>
      <c r="D97" t="s">
        <v>12</v>
      </c>
      <c r="E97">
        <v>170</v>
      </c>
      <c r="F97">
        <v>-34</v>
      </c>
      <c r="G97">
        <v>0.35</v>
      </c>
      <c r="H97" s="4" t="str">
        <f>INDEX(Customers!C:C, MATCH(C97, Customers!A:A, 0))</f>
        <v>South</v>
      </c>
      <c r="I97" s="5" t="str">
        <f>INDEX(Customers!D:D, MATCH(C97, Customers!A:A, 0))</f>
        <v>Consumer</v>
      </c>
    </row>
    <row r="98" spans="1:9" x14ac:dyDescent="0.3">
      <c r="A98" t="s">
        <v>126</v>
      </c>
      <c r="B98" s="1">
        <v>46241</v>
      </c>
      <c r="C98" t="s">
        <v>43</v>
      </c>
      <c r="D98" t="s">
        <v>9</v>
      </c>
      <c r="E98">
        <v>1480</v>
      </c>
      <c r="F98">
        <v>370</v>
      </c>
      <c r="G98">
        <v>0.05</v>
      </c>
      <c r="H98" s="4" t="str">
        <f>INDEX(Customers!C:C, MATCH(C98, Customers!A:A, 0))</f>
        <v>West</v>
      </c>
      <c r="I98" s="5" t="str">
        <f>INDEX(Customers!D:D, MATCH(C98, Customers!A:A, 0))</f>
        <v>Corporate</v>
      </c>
    </row>
    <row r="99" spans="1:9" x14ac:dyDescent="0.3">
      <c r="A99" t="s">
        <v>127</v>
      </c>
      <c r="B99" s="1">
        <v>46247</v>
      </c>
      <c r="C99" t="s">
        <v>45</v>
      </c>
      <c r="D99" t="s">
        <v>15</v>
      </c>
      <c r="E99">
        <v>1020</v>
      </c>
      <c r="F99">
        <v>204</v>
      </c>
      <c r="G99">
        <v>0</v>
      </c>
      <c r="H99" s="4" t="str">
        <f>INDEX(Customers!C:C, MATCH(C99, Customers!A:A, 0))</f>
        <v>East</v>
      </c>
      <c r="I99" s="5" t="str">
        <f>INDEX(Customers!D:D, MATCH(C99, Customers!A:A, 0))</f>
        <v>Corporate</v>
      </c>
    </row>
    <row r="100" spans="1:9" x14ac:dyDescent="0.3">
      <c r="A100" t="s">
        <v>128</v>
      </c>
      <c r="B100" s="1">
        <v>46253</v>
      </c>
      <c r="C100" t="s">
        <v>47</v>
      </c>
      <c r="D100" t="s">
        <v>12</v>
      </c>
      <c r="E100">
        <v>260</v>
      </c>
      <c r="F100">
        <v>65</v>
      </c>
      <c r="G100">
        <v>0</v>
      </c>
      <c r="H100" s="4" t="str">
        <f>INDEX(Customers!C:C, MATCH(C100, Customers!A:A, 0))</f>
        <v>North</v>
      </c>
      <c r="I100" s="5" t="str">
        <f>INDEX(Customers!D:D, MATCH(C100, Customers!A:A, 0))</f>
        <v>Corporate</v>
      </c>
    </row>
    <row r="101" spans="1:9" x14ac:dyDescent="0.3">
      <c r="A101" t="s">
        <v>129</v>
      </c>
      <c r="B101" s="1">
        <v>46259</v>
      </c>
      <c r="C101" t="s">
        <v>49</v>
      </c>
      <c r="D101" t="s">
        <v>9</v>
      </c>
      <c r="E101">
        <v>600</v>
      </c>
      <c r="F101">
        <v>-120</v>
      </c>
      <c r="G101">
        <v>0.4</v>
      </c>
      <c r="H101" s="4" t="str">
        <f>INDEX(Customers!C:C, MATCH(C101, Customers!A:A, 0))</f>
        <v>South</v>
      </c>
      <c r="I101" s="5" t="str">
        <f>INDEX(Customers!D:D, MATCH(C101, Customers!A:A, 0))</f>
        <v>Corporate</v>
      </c>
    </row>
  </sheetData>
  <pageMargins left="0.7" right="0.7" top="0.75" bottom="0.75" header="0.3" footer="0.3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AC0E3-A220-4A34-A744-0E6BC1BAA2C8}">
  <dimension ref="A1:D21"/>
  <sheetViews>
    <sheetView workbookViewId="0">
      <selection activeCell="G3" sqref="G3"/>
    </sheetView>
  </sheetViews>
  <sheetFormatPr defaultRowHeight="14.4" x14ac:dyDescent="0.3"/>
  <cols>
    <col min="1" max="1" width="11.6640625" bestFit="1" customWidth="1"/>
    <col min="2" max="2" width="14.88671875" bestFit="1" customWidth="1"/>
    <col min="3" max="3" width="6.5546875" bestFit="1" customWidth="1"/>
    <col min="4" max="4" width="11.33203125" bestFit="1" customWidth="1"/>
  </cols>
  <sheetData>
    <row r="1" spans="1:4" x14ac:dyDescent="0.3">
      <c r="A1" t="s">
        <v>2</v>
      </c>
      <c r="B1" t="s">
        <v>130</v>
      </c>
      <c r="C1" t="s">
        <v>131</v>
      </c>
      <c r="D1" t="s">
        <v>132</v>
      </c>
    </row>
    <row r="2" spans="1:4" x14ac:dyDescent="0.3">
      <c r="A2" t="s">
        <v>8</v>
      </c>
      <c r="B2" t="s">
        <v>133</v>
      </c>
      <c r="C2" t="s">
        <v>134</v>
      </c>
      <c r="D2" t="s">
        <v>135</v>
      </c>
    </row>
    <row r="3" spans="1:4" x14ac:dyDescent="0.3">
      <c r="A3" t="s">
        <v>19</v>
      </c>
      <c r="B3" t="s">
        <v>136</v>
      </c>
      <c r="C3" t="s">
        <v>134</v>
      </c>
      <c r="D3" t="s">
        <v>137</v>
      </c>
    </row>
    <row r="4" spans="1:4" x14ac:dyDescent="0.3">
      <c r="A4" t="s">
        <v>27</v>
      </c>
      <c r="B4" t="s">
        <v>138</v>
      </c>
      <c r="C4" t="s">
        <v>134</v>
      </c>
      <c r="D4" t="s">
        <v>139</v>
      </c>
    </row>
    <row r="5" spans="1:4" x14ac:dyDescent="0.3">
      <c r="A5" t="s">
        <v>35</v>
      </c>
      <c r="B5" t="s">
        <v>140</v>
      </c>
      <c r="C5" t="s">
        <v>134</v>
      </c>
      <c r="D5" t="s">
        <v>135</v>
      </c>
    </row>
    <row r="6" spans="1:4" x14ac:dyDescent="0.3">
      <c r="A6" t="s">
        <v>43</v>
      </c>
      <c r="B6" t="s">
        <v>141</v>
      </c>
      <c r="C6" t="s">
        <v>134</v>
      </c>
      <c r="D6" t="s">
        <v>137</v>
      </c>
    </row>
    <row r="7" spans="1:4" x14ac:dyDescent="0.3">
      <c r="A7" t="s">
        <v>11</v>
      </c>
      <c r="B7" t="s">
        <v>142</v>
      </c>
      <c r="C7" t="s">
        <v>143</v>
      </c>
      <c r="D7" t="s">
        <v>135</v>
      </c>
    </row>
    <row r="8" spans="1:4" x14ac:dyDescent="0.3">
      <c r="A8" t="s">
        <v>21</v>
      </c>
      <c r="B8" t="s">
        <v>144</v>
      </c>
      <c r="C8" t="s">
        <v>143</v>
      </c>
      <c r="D8" t="s">
        <v>137</v>
      </c>
    </row>
    <row r="9" spans="1:4" x14ac:dyDescent="0.3">
      <c r="A9" t="s">
        <v>29</v>
      </c>
      <c r="B9" t="s">
        <v>145</v>
      </c>
      <c r="C9" t="s">
        <v>143</v>
      </c>
      <c r="D9" t="s">
        <v>139</v>
      </c>
    </row>
    <row r="10" spans="1:4" x14ac:dyDescent="0.3">
      <c r="A10" t="s">
        <v>37</v>
      </c>
      <c r="B10" t="s">
        <v>146</v>
      </c>
      <c r="C10" t="s">
        <v>143</v>
      </c>
      <c r="D10" t="s">
        <v>135</v>
      </c>
    </row>
    <row r="11" spans="1:4" x14ac:dyDescent="0.3">
      <c r="A11" t="s">
        <v>45</v>
      </c>
      <c r="B11" t="s">
        <v>147</v>
      </c>
      <c r="C11" t="s">
        <v>143</v>
      </c>
      <c r="D11" t="s">
        <v>137</v>
      </c>
    </row>
    <row r="12" spans="1:4" x14ac:dyDescent="0.3">
      <c r="A12" t="s">
        <v>14</v>
      </c>
      <c r="B12" t="s">
        <v>148</v>
      </c>
      <c r="C12" t="s">
        <v>149</v>
      </c>
      <c r="D12" t="s">
        <v>135</v>
      </c>
    </row>
    <row r="13" spans="1:4" x14ac:dyDescent="0.3">
      <c r="A13" t="s">
        <v>23</v>
      </c>
      <c r="B13" t="s">
        <v>150</v>
      </c>
      <c r="C13" t="s">
        <v>149</v>
      </c>
      <c r="D13" t="s">
        <v>137</v>
      </c>
    </row>
    <row r="14" spans="1:4" x14ac:dyDescent="0.3">
      <c r="A14" t="s">
        <v>31</v>
      </c>
      <c r="B14" t="s">
        <v>151</v>
      </c>
      <c r="C14" t="s">
        <v>149</v>
      </c>
      <c r="D14" t="s">
        <v>139</v>
      </c>
    </row>
    <row r="15" spans="1:4" x14ac:dyDescent="0.3">
      <c r="A15" t="s">
        <v>39</v>
      </c>
      <c r="B15" t="s">
        <v>152</v>
      </c>
      <c r="C15" t="s">
        <v>149</v>
      </c>
      <c r="D15" t="s">
        <v>135</v>
      </c>
    </row>
    <row r="16" spans="1:4" x14ac:dyDescent="0.3">
      <c r="A16" t="s">
        <v>47</v>
      </c>
      <c r="B16" t="s">
        <v>153</v>
      </c>
      <c r="C16" t="s">
        <v>149</v>
      </c>
      <c r="D16" t="s">
        <v>137</v>
      </c>
    </row>
    <row r="17" spans="1:4" x14ac:dyDescent="0.3">
      <c r="A17" t="s">
        <v>17</v>
      </c>
      <c r="B17" t="s">
        <v>154</v>
      </c>
      <c r="C17" t="s">
        <v>155</v>
      </c>
      <c r="D17" t="s">
        <v>135</v>
      </c>
    </row>
    <row r="18" spans="1:4" x14ac:dyDescent="0.3">
      <c r="A18" t="s">
        <v>25</v>
      </c>
      <c r="B18" t="s">
        <v>156</v>
      </c>
      <c r="C18" t="s">
        <v>155</v>
      </c>
      <c r="D18" t="s">
        <v>137</v>
      </c>
    </row>
    <row r="19" spans="1:4" x14ac:dyDescent="0.3">
      <c r="A19" t="s">
        <v>33</v>
      </c>
      <c r="B19" t="s">
        <v>157</v>
      </c>
      <c r="C19" t="s">
        <v>155</v>
      </c>
      <c r="D19" t="s">
        <v>139</v>
      </c>
    </row>
    <row r="20" spans="1:4" x14ac:dyDescent="0.3">
      <c r="A20" t="s">
        <v>41</v>
      </c>
      <c r="B20" t="s">
        <v>158</v>
      </c>
      <c r="C20" t="s">
        <v>155</v>
      </c>
      <c r="D20" t="s">
        <v>135</v>
      </c>
    </row>
    <row r="21" spans="1:4" x14ac:dyDescent="0.3">
      <c r="A21" t="s">
        <v>49</v>
      </c>
      <c r="B21" t="s">
        <v>159</v>
      </c>
      <c r="C21" t="s">
        <v>155</v>
      </c>
      <c r="D21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REDDIVARI SAI CHANDANA</dc:creator>
  <cp:lastModifiedBy>REDDIVARI SAI CHANDANA</cp:lastModifiedBy>
  <dcterms:created xsi:type="dcterms:W3CDTF">2026-07-20T05:42:51Z</dcterms:created>
  <dcterms:modified xsi:type="dcterms:W3CDTF">2026-07-23T10:41:52Z</dcterms:modified>
</cp:coreProperties>
</file>